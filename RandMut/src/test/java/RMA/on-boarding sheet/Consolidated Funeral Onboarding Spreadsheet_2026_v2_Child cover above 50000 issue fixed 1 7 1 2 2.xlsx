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66925"/>
  <mc:AlternateContent xmlns:mc="http://schemas.openxmlformats.org/markup-compatibility/2006">
    <mc:Choice Requires="x15">
      <x15ac:absPath xmlns:x15ac="http://schemas.microsoft.com/office/spreadsheetml/2010/11/ac" url="C:\Users\Arenaho\eclipse-workspace\RandMut\src\test\java\RMA\on-boarding sheet\"/>
    </mc:Choice>
  </mc:AlternateContent>
  <xr:revisionPtr revIDLastSave="0" documentId="13_ncr:1_{07E57393-E47B-4E5E-B1D6-151B48F1E4C6}" xr6:coauthVersionLast="47" xr6:coauthVersionMax="47" xr10:uidLastSave="{00000000-0000-0000-0000-000000000000}"/>
  <workbookProtection workbookAlgorithmName="SHA-512" workbookHashValue="VqK/RRcsUGaOUwx8dSzjR8fnmjWqFKWaG0OCPRXgtinsVD51xtFGJBp8LBYXVujE4cd5yG23WmT92m4VeRzsfg==" workbookSaltValue="dgyNan6wiiVEUrbGZi4HYA==" workbookSpinCount="100000" lockStructure="1"/>
  <bookViews>
    <workbookView xWindow="-28920" yWindow="1620" windowWidth="29040" windowHeight="15720" firstSheet="1" activeTab="1" xr2:uid="{00000000-000D-0000-FFFF-FFFF00000000}"/>
  </bookViews>
  <sheets>
    <sheet name="Important Notes" sheetId="8" r:id="rId1"/>
    <sheet name="Members" sheetId="2" r:id="rId2"/>
    <sheet name="DropdownList" sheetId="4" state="hidden" r:id="rId3"/>
    <sheet name="Rates Lookup" sheetId="7" r:id="rId4"/>
    <sheet name="Quotation Tool" sheetId="10" r:id="rId5"/>
    <sheet name="Onboarding Calcs" sheetId="9" state="hidden" r:id="rId6"/>
  </sheets>
  <definedNames>
    <definedName name="Child_OverAgeRange">'Rates Lookup'!$H$12</definedName>
    <definedName name="Extended_OverAgeRange">'Rates Lookup'!$H$17</definedName>
    <definedName name="Rate_CH">'Rates Lookup'!$B$62:$F$62</definedName>
    <definedName name="Rate_EXT">'Rates Lookup'!$B$33:$F$43</definedName>
    <definedName name="Rate_MM">'Rates Lookup'!$B$5:$F$14</definedName>
    <definedName name="Rate_PAR">'Rates Lookup'!$B$48:$F$57</definedName>
    <definedName name="Rate_SP">'Rates Lookup'!$B$19:$F$28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3" i="10" l="1"/>
  <c r="G62" i="10"/>
  <c r="G61" i="10"/>
  <c r="G60" i="10"/>
  <c r="G59" i="10"/>
  <c r="G58" i="10"/>
  <c r="G57" i="10"/>
  <c r="G56" i="10"/>
  <c r="G55" i="10"/>
  <c r="G54" i="10"/>
  <c r="G51" i="10"/>
  <c r="G50" i="10"/>
  <c r="G49" i="10"/>
  <c r="G48" i="10"/>
  <c r="G45" i="10"/>
  <c r="G44" i="10"/>
  <c r="G43" i="10"/>
  <c r="G42" i="10"/>
  <c r="G41" i="10"/>
  <c r="G40" i="10"/>
  <c r="G37" i="10"/>
  <c r="G36" i="10"/>
  <c r="AL101" i="2"/>
  <c r="AL100" i="2"/>
  <c r="AL99" i="2"/>
  <c r="AL98" i="2"/>
  <c r="AL97" i="2"/>
  <c r="AL96" i="2"/>
  <c r="AL95" i="2"/>
  <c r="AL94" i="2"/>
  <c r="AL93" i="2"/>
  <c r="AL92" i="2"/>
  <c r="AL91" i="2"/>
  <c r="AL90" i="2"/>
  <c r="AL89" i="2"/>
  <c r="AL88" i="2"/>
  <c r="AL87" i="2"/>
  <c r="AL86" i="2"/>
  <c r="AL85" i="2"/>
  <c r="AL84" i="2"/>
  <c r="AL83" i="2"/>
  <c r="AL82" i="2"/>
  <c r="AL81" i="2"/>
  <c r="AL80" i="2"/>
  <c r="AL79" i="2"/>
  <c r="AL78" i="2"/>
  <c r="AL77" i="2"/>
  <c r="AL76" i="2"/>
  <c r="AL75" i="2"/>
  <c r="AL74" i="2"/>
  <c r="AL73" i="2"/>
  <c r="AL72" i="2"/>
  <c r="AL71" i="2"/>
  <c r="AL70" i="2"/>
  <c r="AL69" i="2"/>
  <c r="AL68" i="2"/>
  <c r="AL67" i="2"/>
  <c r="AL66" i="2"/>
  <c r="AL65" i="2"/>
  <c r="AL64" i="2"/>
  <c r="AL63" i="2"/>
  <c r="AL62" i="2"/>
  <c r="AL61" i="2"/>
  <c r="AL60" i="2"/>
  <c r="AL59" i="2"/>
  <c r="AL58" i="2"/>
  <c r="AL57" i="2"/>
  <c r="AL56"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1" i="2"/>
  <c r="AL20" i="2"/>
  <c r="AL19" i="2"/>
  <c r="AL18" i="2"/>
  <c r="AL17" i="2"/>
  <c r="AL16" i="2"/>
  <c r="AL15" i="2"/>
  <c r="AL14" i="2"/>
  <c r="AL13" i="2"/>
  <c r="AL12" i="2"/>
  <c r="AL11" i="2"/>
  <c r="AL10" i="2"/>
  <c r="AL9" i="2"/>
  <c r="AL8" i="2"/>
  <c r="AL7" i="2"/>
  <c r="AL6"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1" i="2"/>
  <c r="J20" i="2"/>
  <c r="J19" i="2"/>
  <c r="J18" i="2"/>
  <c r="J17" i="2"/>
  <c r="J16" i="2"/>
  <c r="J15" i="2"/>
  <c r="J14" i="2"/>
  <c r="J13" i="2"/>
  <c r="J12" i="2"/>
  <c r="J11" i="2"/>
  <c r="J10" i="2"/>
  <c r="J9" i="2"/>
  <c r="J8" i="2"/>
  <c r="J7" i="2"/>
  <c r="J6" i="2"/>
  <c r="D67" i="10"/>
  <c r="J49" i="10" l="1"/>
  <c r="J50" i="10"/>
  <c r="J55" i="10"/>
  <c r="J56" i="10"/>
  <c r="J57" i="10"/>
  <c r="J48" i="10"/>
  <c r="J51" i="10"/>
  <c r="J54" i="10"/>
  <c r="J63" i="10"/>
  <c r="J62" i="10"/>
  <c r="J61" i="10"/>
  <c r="J60" i="10"/>
  <c r="J59" i="10"/>
  <c r="K59" i="10" s="1"/>
  <c r="J58" i="10"/>
  <c r="J37" i="10"/>
  <c r="K37" i="10" s="1"/>
  <c r="J40" i="10"/>
  <c r="J36" i="10"/>
  <c r="I36" i="10"/>
  <c r="K36" i="10" l="1"/>
  <c r="K54" i="10"/>
  <c r="K57" i="10"/>
  <c r="K56" i="10"/>
  <c r="K55" i="10"/>
  <c r="K40" i="10"/>
  <c r="K48" i="10"/>
  <c r="K50" i="10"/>
  <c r="K51" i="10"/>
  <c r="K49" i="10"/>
  <c r="K63" i="10"/>
  <c r="K62" i="10"/>
  <c r="K61" i="10"/>
  <c r="K60" i="10"/>
  <c r="K58" i="10"/>
  <c r="K65" i="10" l="1"/>
  <c r="K67" i="10" s="1"/>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AL5" i="2"/>
  <c r="J5" i="2" l="1"/>
  <c r="Q3" i="4"/>
  <c r="C62" i="7"/>
  <c r="H97" i="9" l="1"/>
  <c r="H96" i="9"/>
  <c r="H95" i="9"/>
  <c r="H93" i="9"/>
  <c r="H92" i="9"/>
  <c r="H91" i="9"/>
  <c r="H88" i="9"/>
  <c r="H87" i="9"/>
  <c r="H85" i="9"/>
  <c r="H84" i="9"/>
  <c r="H83" i="9"/>
  <c r="H81" i="9"/>
  <c r="H80" i="9"/>
  <c r="H79" i="9"/>
  <c r="H78" i="9"/>
  <c r="H77" i="9"/>
  <c r="H76" i="9"/>
  <c r="H75" i="9"/>
  <c r="H73" i="9"/>
  <c r="H72" i="9"/>
  <c r="H71" i="9"/>
  <c r="H69" i="9"/>
  <c r="H68" i="9"/>
  <c r="H67" i="9"/>
  <c r="H66" i="9"/>
  <c r="H65" i="9"/>
  <c r="H64" i="9"/>
  <c r="H63" i="9"/>
  <c r="H62" i="9"/>
  <c r="H61" i="9"/>
  <c r="H60" i="9"/>
  <c r="H59" i="9"/>
  <c r="H57" i="9"/>
  <c r="H56" i="9"/>
  <c r="H55" i="9"/>
  <c r="H54" i="9"/>
  <c r="H53" i="9"/>
  <c r="H52" i="9"/>
  <c r="H51" i="9"/>
  <c r="H49" i="9"/>
  <c r="H48" i="9"/>
  <c r="H47" i="9"/>
  <c r="H46" i="9"/>
  <c r="H45" i="9"/>
  <c r="H44" i="9"/>
  <c r="H43" i="9"/>
  <c r="H41" i="9"/>
  <c r="H40" i="9"/>
  <c r="H37" i="9"/>
  <c r="H36" i="9"/>
  <c r="H35" i="9"/>
  <c r="H34" i="9"/>
  <c r="H33" i="9"/>
  <c r="H32" i="9"/>
  <c r="H30" i="9"/>
  <c r="H29" i="9"/>
  <c r="H27" i="9"/>
  <c r="H26" i="9"/>
  <c r="H24" i="9"/>
  <c r="H23" i="9"/>
  <c r="H22" i="9"/>
  <c r="H21" i="9"/>
  <c r="H20" i="9"/>
  <c r="H18" i="9"/>
  <c r="H16" i="9"/>
  <c r="H15" i="9"/>
  <c r="H14" i="9"/>
  <c r="H13" i="9"/>
  <c r="H12" i="9"/>
  <c r="H11" i="9"/>
  <c r="H10" i="9"/>
  <c r="H9" i="9"/>
  <c r="H8" i="9"/>
  <c r="H7" i="9"/>
  <c r="H6" i="9"/>
  <c r="H5" i="9"/>
  <c r="H4" i="9"/>
  <c r="F3" i="9"/>
  <c r="H98" i="9"/>
  <c r="H90" i="9"/>
  <c r="H28" i="9"/>
  <c r="M98" i="9"/>
  <c r="G98" i="9"/>
  <c r="F98" i="9"/>
  <c r="E98" i="9"/>
  <c r="D98" i="9"/>
  <c r="C98" i="9"/>
  <c r="B98" i="9"/>
  <c r="M97" i="9"/>
  <c r="G97" i="9"/>
  <c r="F97" i="9"/>
  <c r="E97" i="9"/>
  <c r="D97" i="9"/>
  <c r="C97" i="9"/>
  <c r="B97" i="9"/>
  <c r="M96" i="9"/>
  <c r="G96" i="9"/>
  <c r="F96" i="9"/>
  <c r="E96" i="9"/>
  <c r="D96" i="9"/>
  <c r="C96" i="9"/>
  <c r="B96" i="9"/>
  <c r="M95" i="9"/>
  <c r="G95" i="9"/>
  <c r="F95" i="9"/>
  <c r="E95" i="9"/>
  <c r="D95" i="9"/>
  <c r="C95" i="9"/>
  <c r="B95" i="9"/>
  <c r="M94" i="9"/>
  <c r="H94" i="9"/>
  <c r="G94" i="9"/>
  <c r="F94" i="9"/>
  <c r="E94" i="9"/>
  <c r="D94" i="9"/>
  <c r="C94" i="9"/>
  <c r="B94" i="9"/>
  <c r="M93" i="9"/>
  <c r="G93" i="9"/>
  <c r="F93" i="9"/>
  <c r="E93" i="9"/>
  <c r="D93" i="9"/>
  <c r="C93" i="9"/>
  <c r="B93" i="9"/>
  <c r="M92" i="9"/>
  <c r="G92" i="9"/>
  <c r="F92" i="9"/>
  <c r="E92" i="9"/>
  <c r="D92" i="9"/>
  <c r="C92" i="9"/>
  <c r="B92" i="9"/>
  <c r="M91" i="9"/>
  <c r="G91" i="9"/>
  <c r="F91" i="9"/>
  <c r="E91" i="9"/>
  <c r="D91" i="9"/>
  <c r="C91" i="9"/>
  <c r="B91" i="9"/>
  <c r="M90" i="9"/>
  <c r="G90" i="9"/>
  <c r="F90" i="9"/>
  <c r="E90" i="9"/>
  <c r="D90" i="9"/>
  <c r="C90" i="9"/>
  <c r="B90" i="9"/>
  <c r="M89" i="9"/>
  <c r="H89" i="9"/>
  <c r="G89" i="9"/>
  <c r="F89" i="9"/>
  <c r="E89" i="9"/>
  <c r="D89" i="9"/>
  <c r="C89" i="9"/>
  <c r="B89" i="9"/>
  <c r="M88" i="9"/>
  <c r="G88" i="9"/>
  <c r="F88" i="9"/>
  <c r="E88" i="9"/>
  <c r="D88" i="9"/>
  <c r="C88" i="9"/>
  <c r="B88" i="9"/>
  <c r="M87" i="9"/>
  <c r="G87" i="9"/>
  <c r="F87" i="9"/>
  <c r="E87" i="9"/>
  <c r="D87" i="9"/>
  <c r="C87" i="9"/>
  <c r="B87" i="9"/>
  <c r="M86" i="9"/>
  <c r="H86" i="9"/>
  <c r="G86" i="9"/>
  <c r="F86" i="9"/>
  <c r="E86" i="9"/>
  <c r="D86" i="9"/>
  <c r="C86" i="9"/>
  <c r="B86" i="9"/>
  <c r="M85" i="9"/>
  <c r="G85" i="9"/>
  <c r="F85" i="9"/>
  <c r="E85" i="9"/>
  <c r="D85" i="9"/>
  <c r="C85" i="9"/>
  <c r="B85" i="9"/>
  <c r="M84" i="9"/>
  <c r="G84" i="9"/>
  <c r="F84" i="9"/>
  <c r="E84" i="9"/>
  <c r="D84" i="9"/>
  <c r="C84" i="9"/>
  <c r="B84" i="9"/>
  <c r="M83" i="9"/>
  <c r="G83" i="9"/>
  <c r="F83" i="9"/>
  <c r="E83" i="9"/>
  <c r="D83" i="9"/>
  <c r="C83" i="9"/>
  <c r="B83" i="9"/>
  <c r="M82" i="9"/>
  <c r="H82" i="9"/>
  <c r="G82" i="9"/>
  <c r="F82" i="9"/>
  <c r="E82" i="9"/>
  <c r="D82" i="9"/>
  <c r="C82" i="9"/>
  <c r="B82" i="9"/>
  <c r="M81" i="9"/>
  <c r="G81" i="9"/>
  <c r="F81" i="9"/>
  <c r="E81" i="9"/>
  <c r="D81" i="9"/>
  <c r="C81" i="9"/>
  <c r="B81" i="9"/>
  <c r="M80" i="9"/>
  <c r="G80" i="9"/>
  <c r="F80" i="9"/>
  <c r="E80" i="9"/>
  <c r="D80" i="9"/>
  <c r="C80" i="9"/>
  <c r="B80" i="9"/>
  <c r="M79" i="9"/>
  <c r="G79" i="9"/>
  <c r="F79" i="9"/>
  <c r="E79" i="9"/>
  <c r="D79" i="9"/>
  <c r="C79" i="9"/>
  <c r="B79" i="9"/>
  <c r="M78" i="9"/>
  <c r="G78" i="9"/>
  <c r="F78" i="9"/>
  <c r="E78" i="9"/>
  <c r="D78" i="9"/>
  <c r="C78" i="9"/>
  <c r="B78" i="9"/>
  <c r="M77" i="9"/>
  <c r="G77" i="9"/>
  <c r="F77" i="9"/>
  <c r="E77" i="9"/>
  <c r="D77" i="9"/>
  <c r="C77" i="9"/>
  <c r="B77" i="9"/>
  <c r="M76" i="9"/>
  <c r="G76" i="9"/>
  <c r="F76" i="9"/>
  <c r="E76" i="9"/>
  <c r="D76" i="9"/>
  <c r="C76" i="9"/>
  <c r="B76" i="9"/>
  <c r="M75" i="9"/>
  <c r="G75" i="9"/>
  <c r="F75" i="9"/>
  <c r="E75" i="9"/>
  <c r="D75" i="9"/>
  <c r="C75" i="9"/>
  <c r="B75" i="9"/>
  <c r="M74" i="9"/>
  <c r="H74" i="9"/>
  <c r="G74" i="9"/>
  <c r="F74" i="9"/>
  <c r="E74" i="9"/>
  <c r="D74" i="9"/>
  <c r="C74" i="9"/>
  <c r="B74" i="9"/>
  <c r="M73" i="9"/>
  <c r="G73" i="9"/>
  <c r="F73" i="9"/>
  <c r="E73" i="9"/>
  <c r="D73" i="9"/>
  <c r="C73" i="9"/>
  <c r="B73" i="9"/>
  <c r="M72" i="9"/>
  <c r="G72" i="9"/>
  <c r="F72" i="9"/>
  <c r="E72" i="9"/>
  <c r="D72" i="9"/>
  <c r="C72" i="9"/>
  <c r="B72" i="9"/>
  <c r="M71" i="9"/>
  <c r="G71" i="9"/>
  <c r="F71" i="9"/>
  <c r="E71" i="9"/>
  <c r="D71" i="9"/>
  <c r="C71" i="9"/>
  <c r="B71" i="9"/>
  <c r="M70" i="9"/>
  <c r="H70" i="9"/>
  <c r="G70" i="9"/>
  <c r="F70" i="9"/>
  <c r="E70" i="9"/>
  <c r="D70" i="9"/>
  <c r="C70" i="9"/>
  <c r="B70" i="9"/>
  <c r="M69" i="9"/>
  <c r="G69" i="9"/>
  <c r="F69" i="9"/>
  <c r="E69" i="9"/>
  <c r="D69" i="9"/>
  <c r="C69" i="9"/>
  <c r="B69" i="9"/>
  <c r="M68" i="9"/>
  <c r="G68" i="9"/>
  <c r="F68" i="9"/>
  <c r="E68" i="9"/>
  <c r="D68" i="9"/>
  <c r="C68" i="9"/>
  <c r="B68" i="9"/>
  <c r="M67" i="9"/>
  <c r="G67" i="9"/>
  <c r="F67" i="9"/>
  <c r="E67" i="9"/>
  <c r="D67" i="9"/>
  <c r="C67" i="9"/>
  <c r="B67" i="9"/>
  <c r="M66" i="9"/>
  <c r="G66" i="9"/>
  <c r="F66" i="9"/>
  <c r="E66" i="9"/>
  <c r="D66" i="9"/>
  <c r="C66" i="9"/>
  <c r="B66" i="9"/>
  <c r="M65" i="9"/>
  <c r="G65" i="9"/>
  <c r="F65" i="9"/>
  <c r="E65" i="9"/>
  <c r="D65" i="9"/>
  <c r="C65" i="9"/>
  <c r="B65" i="9"/>
  <c r="M64" i="9"/>
  <c r="G64" i="9"/>
  <c r="F64" i="9"/>
  <c r="E64" i="9"/>
  <c r="D64" i="9"/>
  <c r="C64" i="9"/>
  <c r="B64" i="9"/>
  <c r="M63" i="9"/>
  <c r="G63" i="9"/>
  <c r="F63" i="9"/>
  <c r="E63" i="9"/>
  <c r="D63" i="9"/>
  <c r="C63" i="9"/>
  <c r="B63" i="9"/>
  <c r="M62" i="9"/>
  <c r="G62" i="9"/>
  <c r="F62" i="9"/>
  <c r="E62" i="9"/>
  <c r="D62" i="9"/>
  <c r="C62" i="9"/>
  <c r="B62" i="9"/>
  <c r="M61" i="9"/>
  <c r="G61" i="9"/>
  <c r="F61" i="9"/>
  <c r="E61" i="9"/>
  <c r="D61" i="9"/>
  <c r="C61" i="9"/>
  <c r="B61" i="9"/>
  <c r="M60" i="9"/>
  <c r="G60" i="9"/>
  <c r="F60" i="9"/>
  <c r="E60" i="9"/>
  <c r="D60" i="9"/>
  <c r="C60" i="9"/>
  <c r="B60" i="9"/>
  <c r="M59" i="9"/>
  <c r="G59" i="9"/>
  <c r="F59" i="9"/>
  <c r="E59" i="9"/>
  <c r="D59" i="9"/>
  <c r="C59" i="9"/>
  <c r="B59" i="9"/>
  <c r="M58" i="9"/>
  <c r="H58" i="9"/>
  <c r="G58" i="9"/>
  <c r="F58" i="9"/>
  <c r="E58" i="9"/>
  <c r="D58" i="9"/>
  <c r="C58" i="9"/>
  <c r="B58" i="9"/>
  <c r="M57" i="9"/>
  <c r="G57" i="9"/>
  <c r="F57" i="9"/>
  <c r="E57" i="9"/>
  <c r="D57" i="9"/>
  <c r="C57" i="9"/>
  <c r="B57" i="9"/>
  <c r="M56" i="9"/>
  <c r="G56" i="9"/>
  <c r="F56" i="9"/>
  <c r="E56" i="9"/>
  <c r="D56" i="9"/>
  <c r="C56" i="9"/>
  <c r="B56" i="9"/>
  <c r="M55" i="9"/>
  <c r="G55" i="9"/>
  <c r="F55" i="9"/>
  <c r="E55" i="9"/>
  <c r="D55" i="9"/>
  <c r="C55" i="9"/>
  <c r="B55" i="9"/>
  <c r="M54" i="9"/>
  <c r="G54" i="9"/>
  <c r="F54" i="9"/>
  <c r="E54" i="9"/>
  <c r="D54" i="9"/>
  <c r="C54" i="9"/>
  <c r="B54" i="9"/>
  <c r="M53" i="9"/>
  <c r="G53" i="9"/>
  <c r="F53" i="9"/>
  <c r="E53" i="9"/>
  <c r="D53" i="9"/>
  <c r="C53" i="9"/>
  <c r="B53" i="9"/>
  <c r="M52" i="9"/>
  <c r="G52" i="9"/>
  <c r="F52" i="9"/>
  <c r="E52" i="9"/>
  <c r="D52" i="9"/>
  <c r="C52" i="9"/>
  <c r="B52" i="9"/>
  <c r="M51" i="9"/>
  <c r="G51" i="9"/>
  <c r="F51" i="9"/>
  <c r="E51" i="9"/>
  <c r="D51" i="9"/>
  <c r="C51" i="9"/>
  <c r="B51" i="9"/>
  <c r="M50" i="9"/>
  <c r="H50" i="9"/>
  <c r="G50" i="9"/>
  <c r="F50" i="9"/>
  <c r="E50" i="9"/>
  <c r="D50" i="9"/>
  <c r="C50" i="9"/>
  <c r="B50" i="9"/>
  <c r="M49" i="9"/>
  <c r="G49" i="9"/>
  <c r="F49" i="9"/>
  <c r="E49" i="9"/>
  <c r="D49" i="9"/>
  <c r="C49" i="9"/>
  <c r="B49" i="9"/>
  <c r="M48" i="9"/>
  <c r="G48" i="9"/>
  <c r="F48" i="9"/>
  <c r="E48" i="9"/>
  <c r="D48" i="9"/>
  <c r="C48" i="9"/>
  <c r="B48" i="9"/>
  <c r="M47" i="9"/>
  <c r="G47" i="9"/>
  <c r="F47" i="9"/>
  <c r="E47" i="9"/>
  <c r="D47" i="9"/>
  <c r="C47" i="9"/>
  <c r="B47" i="9"/>
  <c r="M46" i="9"/>
  <c r="G46" i="9"/>
  <c r="F46" i="9"/>
  <c r="E46" i="9"/>
  <c r="D46" i="9"/>
  <c r="C46" i="9"/>
  <c r="B46" i="9"/>
  <c r="M45" i="9"/>
  <c r="G45" i="9"/>
  <c r="F45" i="9"/>
  <c r="E45" i="9"/>
  <c r="D45" i="9"/>
  <c r="C45" i="9"/>
  <c r="B45" i="9"/>
  <c r="M44" i="9"/>
  <c r="G44" i="9"/>
  <c r="F44" i="9"/>
  <c r="E44" i="9"/>
  <c r="D44" i="9"/>
  <c r="C44" i="9"/>
  <c r="B44" i="9"/>
  <c r="M43" i="9"/>
  <c r="G43" i="9"/>
  <c r="F43" i="9"/>
  <c r="E43" i="9"/>
  <c r="D43" i="9"/>
  <c r="C43" i="9"/>
  <c r="B43" i="9"/>
  <c r="M42" i="9"/>
  <c r="H42" i="9"/>
  <c r="G42" i="9"/>
  <c r="F42" i="9"/>
  <c r="E42" i="9"/>
  <c r="D42" i="9"/>
  <c r="C42" i="9"/>
  <c r="B42" i="9"/>
  <c r="M41" i="9"/>
  <c r="G41" i="9"/>
  <c r="F41" i="9"/>
  <c r="E41" i="9"/>
  <c r="D41" i="9"/>
  <c r="C41" i="9"/>
  <c r="B41" i="9"/>
  <c r="M40" i="9"/>
  <c r="G40" i="9"/>
  <c r="F40" i="9"/>
  <c r="E40" i="9"/>
  <c r="D40" i="9"/>
  <c r="C40" i="9"/>
  <c r="B40" i="9"/>
  <c r="M39" i="9"/>
  <c r="H39" i="9"/>
  <c r="G39" i="9"/>
  <c r="F39" i="9"/>
  <c r="E39" i="9"/>
  <c r="D39" i="9"/>
  <c r="C39" i="9"/>
  <c r="B39" i="9"/>
  <c r="M38" i="9"/>
  <c r="H38" i="9"/>
  <c r="G38" i="9"/>
  <c r="F38" i="9"/>
  <c r="E38" i="9"/>
  <c r="D38" i="9"/>
  <c r="C38" i="9"/>
  <c r="B38" i="9"/>
  <c r="M37" i="9"/>
  <c r="G37" i="9"/>
  <c r="F37" i="9"/>
  <c r="E37" i="9"/>
  <c r="D37" i="9"/>
  <c r="C37" i="9"/>
  <c r="B37" i="9"/>
  <c r="M36" i="9"/>
  <c r="G36" i="9"/>
  <c r="F36" i="9"/>
  <c r="E36" i="9"/>
  <c r="D36" i="9"/>
  <c r="C36" i="9"/>
  <c r="B36" i="9"/>
  <c r="M35" i="9"/>
  <c r="G35" i="9"/>
  <c r="F35" i="9"/>
  <c r="E35" i="9"/>
  <c r="D35" i="9"/>
  <c r="C35" i="9"/>
  <c r="B35" i="9"/>
  <c r="M34" i="9"/>
  <c r="G34" i="9"/>
  <c r="F34" i="9"/>
  <c r="E34" i="9"/>
  <c r="D34" i="9"/>
  <c r="C34" i="9"/>
  <c r="B34" i="9"/>
  <c r="M33" i="9"/>
  <c r="G33" i="9"/>
  <c r="F33" i="9"/>
  <c r="E33" i="9"/>
  <c r="D33" i="9"/>
  <c r="C33" i="9"/>
  <c r="B33" i="9"/>
  <c r="M32" i="9"/>
  <c r="G32" i="9"/>
  <c r="F32" i="9"/>
  <c r="E32" i="9"/>
  <c r="D32" i="9"/>
  <c r="C32" i="9"/>
  <c r="B32" i="9"/>
  <c r="M31" i="9"/>
  <c r="H31" i="9"/>
  <c r="G31" i="9"/>
  <c r="F31" i="9"/>
  <c r="E31" i="9"/>
  <c r="D31" i="9"/>
  <c r="C31" i="9"/>
  <c r="B31" i="9"/>
  <c r="M30" i="9"/>
  <c r="G30" i="9"/>
  <c r="F30" i="9"/>
  <c r="E30" i="9"/>
  <c r="D30" i="9"/>
  <c r="C30" i="9"/>
  <c r="B30" i="9"/>
  <c r="M29" i="9"/>
  <c r="G29" i="9"/>
  <c r="F29" i="9"/>
  <c r="E29" i="9"/>
  <c r="D29" i="9"/>
  <c r="C29" i="9"/>
  <c r="B29" i="9"/>
  <c r="M28" i="9"/>
  <c r="G28" i="9"/>
  <c r="F28" i="9"/>
  <c r="E28" i="9"/>
  <c r="D28" i="9"/>
  <c r="C28" i="9"/>
  <c r="B28" i="9"/>
  <c r="M27" i="9"/>
  <c r="G27" i="9"/>
  <c r="F27" i="9"/>
  <c r="E27" i="9"/>
  <c r="D27" i="9"/>
  <c r="C27" i="9"/>
  <c r="B27" i="9"/>
  <c r="M26" i="9"/>
  <c r="G26" i="9"/>
  <c r="F26" i="9"/>
  <c r="E26" i="9"/>
  <c r="D26" i="9"/>
  <c r="C26" i="9"/>
  <c r="B26" i="9"/>
  <c r="M25" i="9"/>
  <c r="H25" i="9"/>
  <c r="G25" i="9"/>
  <c r="F25" i="9"/>
  <c r="E25" i="9"/>
  <c r="D25" i="9"/>
  <c r="C25" i="9"/>
  <c r="B25" i="9"/>
  <c r="M24" i="9"/>
  <c r="G24" i="9"/>
  <c r="F24" i="9"/>
  <c r="E24" i="9"/>
  <c r="D24" i="9"/>
  <c r="C24" i="9"/>
  <c r="B24" i="9"/>
  <c r="M23" i="9"/>
  <c r="G23" i="9"/>
  <c r="F23" i="9"/>
  <c r="E23" i="9"/>
  <c r="D23" i="9"/>
  <c r="C23" i="9"/>
  <c r="B23" i="9"/>
  <c r="M22" i="9"/>
  <c r="G22" i="9"/>
  <c r="F22" i="9"/>
  <c r="E22" i="9"/>
  <c r="D22" i="9"/>
  <c r="C22" i="9"/>
  <c r="B22" i="9"/>
  <c r="M21" i="9"/>
  <c r="G21" i="9"/>
  <c r="F21" i="9"/>
  <c r="E21" i="9"/>
  <c r="D21" i="9"/>
  <c r="C21" i="9"/>
  <c r="B21" i="9"/>
  <c r="M20" i="9"/>
  <c r="G20" i="9"/>
  <c r="F20" i="9"/>
  <c r="E20" i="9"/>
  <c r="D20" i="9"/>
  <c r="C20" i="9"/>
  <c r="B20" i="9"/>
  <c r="M19" i="9"/>
  <c r="H19" i="9"/>
  <c r="G19" i="9"/>
  <c r="F19" i="9"/>
  <c r="E19" i="9"/>
  <c r="D19" i="9"/>
  <c r="C19" i="9"/>
  <c r="B19" i="9"/>
  <c r="M18" i="9"/>
  <c r="G18" i="9"/>
  <c r="F18" i="9"/>
  <c r="E18" i="9"/>
  <c r="D18" i="9"/>
  <c r="C18" i="9"/>
  <c r="B18" i="9"/>
  <c r="M17" i="9"/>
  <c r="H17" i="9"/>
  <c r="G17" i="9"/>
  <c r="F17" i="9"/>
  <c r="E17" i="9"/>
  <c r="D17" i="9"/>
  <c r="C17" i="9"/>
  <c r="B17" i="9"/>
  <c r="M16" i="9"/>
  <c r="G16" i="9"/>
  <c r="F16" i="9"/>
  <c r="E16" i="9"/>
  <c r="D16" i="9"/>
  <c r="C16" i="9"/>
  <c r="B16" i="9"/>
  <c r="M15" i="9"/>
  <c r="G15" i="9"/>
  <c r="F15" i="9"/>
  <c r="E15" i="9"/>
  <c r="D15" i="9"/>
  <c r="C15" i="9"/>
  <c r="B15" i="9"/>
  <c r="M14" i="9"/>
  <c r="G14" i="9"/>
  <c r="F14" i="9"/>
  <c r="E14" i="9"/>
  <c r="D14" i="9"/>
  <c r="C14" i="9"/>
  <c r="B14" i="9"/>
  <c r="M13" i="9"/>
  <c r="G13" i="9"/>
  <c r="F13" i="9"/>
  <c r="E13" i="9"/>
  <c r="D13" i="9"/>
  <c r="C13" i="9"/>
  <c r="B13" i="9"/>
  <c r="M12" i="9"/>
  <c r="G12" i="9"/>
  <c r="F12" i="9"/>
  <c r="E12" i="9"/>
  <c r="D12" i="9"/>
  <c r="C12" i="9"/>
  <c r="B12" i="9"/>
  <c r="M11" i="9"/>
  <c r="G11" i="9"/>
  <c r="F11" i="9"/>
  <c r="E11" i="9"/>
  <c r="D11" i="9"/>
  <c r="C11" i="9"/>
  <c r="B11" i="9"/>
  <c r="M10" i="9"/>
  <c r="G10" i="9"/>
  <c r="F10" i="9"/>
  <c r="E10" i="9"/>
  <c r="D10" i="9"/>
  <c r="C10" i="9"/>
  <c r="B10" i="9"/>
  <c r="M9" i="9"/>
  <c r="G9" i="9"/>
  <c r="F9" i="9"/>
  <c r="E9" i="9"/>
  <c r="D9" i="9"/>
  <c r="C9" i="9"/>
  <c r="B9" i="9"/>
  <c r="M8" i="9"/>
  <c r="G8" i="9"/>
  <c r="F8" i="9"/>
  <c r="E8" i="9"/>
  <c r="D8" i="9"/>
  <c r="C8" i="9"/>
  <c r="B8" i="9"/>
  <c r="M7" i="9"/>
  <c r="G7" i="9"/>
  <c r="F7" i="9"/>
  <c r="E7" i="9"/>
  <c r="D7" i="9"/>
  <c r="C7" i="9"/>
  <c r="B7" i="9"/>
  <c r="M6" i="9"/>
  <c r="G6" i="9"/>
  <c r="F6" i="9"/>
  <c r="E6" i="9"/>
  <c r="D6" i="9"/>
  <c r="C6" i="9"/>
  <c r="B6" i="9"/>
  <c r="M5" i="9"/>
  <c r="G5" i="9"/>
  <c r="F5" i="9"/>
  <c r="E5" i="9"/>
  <c r="D5" i="9"/>
  <c r="C5" i="9"/>
  <c r="B5" i="9"/>
  <c r="M4" i="9"/>
  <c r="G4" i="9"/>
  <c r="F4" i="9"/>
  <c r="E4" i="9"/>
  <c r="D4" i="9"/>
  <c r="C4" i="9"/>
  <c r="B4" i="9"/>
  <c r="H3" i="9"/>
  <c r="B3" i="9"/>
  <c r="U3" i="9" s="1"/>
  <c r="C3" i="9"/>
  <c r="D3" i="9"/>
  <c r="E3" i="9"/>
  <c r="G3" i="9"/>
  <c r="I3" i="9"/>
  <c r="M3" i="9"/>
  <c r="U41" i="9" l="1"/>
  <c r="U29" i="9"/>
  <c r="U39" i="9"/>
  <c r="U87" i="9"/>
  <c r="U17" i="9"/>
  <c r="U18" i="9"/>
  <c r="U28" i="9"/>
  <c r="U37" i="9"/>
  <c r="U48" i="9"/>
  <c r="U57" i="9"/>
  <c r="U66" i="9"/>
  <c r="U76" i="9"/>
  <c r="U85" i="9"/>
  <c r="U96" i="9"/>
  <c r="U21" i="9"/>
  <c r="U68" i="9"/>
  <c r="U88" i="9"/>
  <c r="U20" i="9"/>
  <c r="U59" i="9"/>
  <c r="U27" i="9"/>
  <c r="U36" i="9"/>
  <c r="U47" i="9"/>
  <c r="U56" i="9"/>
  <c r="U65" i="9"/>
  <c r="U74" i="9"/>
  <c r="U75" i="9"/>
  <c r="U84" i="9"/>
  <c r="U94" i="9"/>
  <c r="U95" i="9"/>
  <c r="U50" i="9"/>
  <c r="U98" i="9"/>
  <c r="U38" i="9"/>
  <c r="U58" i="9"/>
  <c r="U67" i="9"/>
  <c r="U77" i="9"/>
  <c r="U15" i="9"/>
  <c r="U25" i="9"/>
  <c r="U26" i="9"/>
  <c r="U35" i="9"/>
  <c r="U46" i="9"/>
  <c r="U55" i="9"/>
  <c r="U64" i="9"/>
  <c r="U73" i="9"/>
  <c r="U82" i="9"/>
  <c r="U83" i="9"/>
  <c r="U93" i="9"/>
  <c r="U51" i="9"/>
  <c r="U60" i="9"/>
  <c r="U19" i="9"/>
  <c r="U14" i="9"/>
  <c r="U24" i="9"/>
  <c r="U34" i="9"/>
  <c r="U45" i="9"/>
  <c r="U54" i="9"/>
  <c r="U63" i="9"/>
  <c r="U72" i="9"/>
  <c r="U81" i="9"/>
  <c r="U92" i="9"/>
  <c r="U40" i="9"/>
  <c r="U23" i="9"/>
  <c r="U33" i="9"/>
  <c r="U44" i="9"/>
  <c r="U53" i="9"/>
  <c r="U62" i="9"/>
  <c r="U70" i="9"/>
  <c r="U80" i="9"/>
  <c r="U91" i="9"/>
  <c r="U30" i="9"/>
  <c r="U78" i="9"/>
  <c r="U49" i="9"/>
  <c r="U86" i="9"/>
  <c r="U97" i="9"/>
  <c r="U16" i="9"/>
  <c r="U22" i="9"/>
  <c r="U31" i="9"/>
  <c r="U32" i="9"/>
  <c r="U42" i="9"/>
  <c r="U43" i="9"/>
  <c r="U52" i="9"/>
  <c r="U61" i="9"/>
  <c r="U69" i="9"/>
  <c r="U79" i="9"/>
  <c r="U89" i="9"/>
  <c r="U90" i="9"/>
  <c r="U71" i="9"/>
  <c r="R33" i="9"/>
  <c r="S33" i="9"/>
  <c r="T33" i="9" s="1"/>
  <c r="S21" i="9"/>
  <c r="T21" i="9" s="1"/>
  <c r="R21" i="9"/>
  <c r="R41" i="9"/>
  <c r="S41" i="9"/>
  <c r="T41" i="9" s="1"/>
  <c r="S50" i="9"/>
  <c r="T50" i="9" s="1"/>
  <c r="R50" i="9"/>
  <c r="R68" i="9"/>
  <c r="S68" i="9"/>
  <c r="T68" i="9" s="1"/>
  <c r="S88" i="9"/>
  <c r="T88" i="9" s="1"/>
  <c r="R88" i="9"/>
  <c r="R98" i="9"/>
  <c r="S98" i="9"/>
  <c r="T98" i="9" s="1"/>
  <c r="S51" i="9"/>
  <c r="T51" i="9" s="1"/>
  <c r="R51" i="9"/>
  <c r="S60" i="9"/>
  <c r="T60" i="9" s="1"/>
  <c r="R60" i="9"/>
  <c r="R78" i="9"/>
  <c r="S78" i="9"/>
  <c r="T78" i="9" s="1"/>
  <c r="R19" i="9"/>
  <c r="S19" i="9"/>
  <c r="T19" i="9" s="1"/>
  <c r="R29" i="9"/>
  <c r="S29" i="9"/>
  <c r="T29" i="9" s="1"/>
  <c r="S38" i="9"/>
  <c r="T38" i="9" s="1"/>
  <c r="R38" i="9"/>
  <c r="S39" i="9"/>
  <c r="T39" i="9" s="1"/>
  <c r="R39" i="9"/>
  <c r="S40" i="9"/>
  <c r="T40" i="9" s="1"/>
  <c r="R40" i="9"/>
  <c r="R49" i="9"/>
  <c r="S49" i="9"/>
  <c r="T49" i="9" s="1"/>
  <c r="R58" i="9"/>
  <c r="S58" i="9"/>
  <c r="T58" i="9" s="1"/>
  <c r="S59" i="9"/>
  <c r="T59" i="9" s="1"/>
  <c r="R59" i="9"/>
  <c r="R67" i="9"/>
  <c r="S67" i="9"/>
  <c r="T67" i="9" s="1"/>
  <c r="R77" i="9"/>
  <c r="S77" i="9"/>
  <c r="T77" i="9" s="1"/>
  <c r="R86" i="9"/>
  <c r="S86" i="9"/>
  <c r="T86" i="9" s="1"/>
  <c r="S87" i="9"/>
  <c r="T87" i="9" s="1"/>
  <c r="R87" i="9"/>
  <c r="R97" i="9"/>
  <c r="S97" i="9"/>
  <c r="T97" i="9" s="1"/>
  <c r="R30" i="9"/>
  <c r="S30" i="9"/>
  <c r="T30" i="9" s="1"/>
  <c r="R20" i="9"/>
  <c r="S20" i="9"/>
  <c r="T20" i="9" s="1"/>
  <c r="R17" i="9"/>
  <c r="S17" i="9"/>
  <c r="T17" i="9" s="1"/>
  <c r="R18" i="9"/>
  <c r="S18" i="9"/>
  <c r="T18" i="9" s="1"/>
  <c r="S28" i="9"/>
  <c r="T28" i="9" s="1"/>
  <c r="R28" i="9"/>
  <c r="S37" i="9"/>
  <c r="T37" i="9" s="1"/>
  <c r="R37" i="9"/>
  <c r="S48" i="9"/>
  <c r="T48" i="9" s="1"/>
  <c r="R48" i="9"/>
  <c r="R57" i="9"/>
  <c r="S57" i="9"/>
  <c r="T57" i="9" s="1"/>
  <c r="S66" i="9"/>
  <c r="T66" i="9" s="1"/>
  <c r="R66" i="9"/>
  <c r="R76" i="9"/>
  <c r="S76" i="9"/>
  <c r="T76" i="9" s="1"/>
  <c r="R85" i="9"/>
  <c r="S85" i="9"/>
  <c r="T85" i="9" s="1"/>
  <c r="S96" i="9"/>
  <c r="T96" i="9" s="1"/>
  <c r="R96" i="9"/>
  <c r="S27" i="9"/>
  <c r="T27" i="9" s="1"/>
  <c r="R27" i="9"/>
  <c r="S36" i="9"/>
  <c r="T36" i="9" s="1"/>
  <c r="R36" i="9"/>
  <c r="S47" i="9"/>
  <c r="T47" i="9" s="1"/>
  <c r="R47" i="9"/>
  <c r="S56" i="9"/>
  <c r="T56" i="9" s="1"/>
  <c r="R56" i="9"/>
  <c r="R65" i="9"/>
  <c r="S65" i="9"/>
  <c r="T65" i="9" s="1"/>
  <c r="R74" i="9"/>
  <c r="S74" i="9"/>
  <c r="T74" i="9" s="1"/>
  <c r="R75" i="9"/>
  <c r="S75" i="9"/>
  <c r="T75" i="9" s="1"/>
  <c r="S84" i="9"/>
  <c r="T84" i="9" s="1"/>
  <c r="R84" i="9"/>
  <c r="R94" i="9"/>
  <c r="S94" i="9"/>
  <c r="T94" i="9" s="1"/>
  <c r="S95" i="9"/>
  <c r="T95" i="9" s="1"/>
  <c r="R95" i="9"/>
  <c r="S15" i="9"/>
  <c r="T15" i="9" s="1"/>
  <c r="R15" i="9"/>
  <c r="R25" i="9"/>
  <c r="S25" i="9"/>
  <c r="T25" i="9" s="1"/>
  <c r="R26" i="9"/>
  <c r="S26" i="9"/>
  <c r="T26" i="9" s="1"/>
  <c r="S35" i="9"/>
  <c r="T35" i="9" s="1"/>
  <c r="R35" i="9"/>
  <c r="R46" i="9"/>
  <c r="S46" i="9"/>
  <c r="T46" i="9" s="1"/>
  <c r="S55" i="9"/>
  <c r="T55" i="9" s="1"/>
  <c r="R55" i="9"/>
  <c r="S64" i="9"/>
  <c r="T64" i="9" s="1"/>
  <c r="R64" i="9"/>
  <c r="R73" i="9"/>
  <c r="S73" i="9"/>
  <c r="T73" i="9" s="1"/>
  <c r="S82" i="9"/>
  <c r="T82" i="9" s="1"/>
  <c r="R82" i="9"/>
  <c r="S83" i="9"/>
  <c r="T83" i="9" s="1"/>
  <c r="R83" i="9"/>
  <c r="S93" i="9"/>
  <c r="T93" i="9" s="1"/>
  <c r="R93" i="9"/>
  <c r="S24" i="9"/>
  <c r="T24" i="9" s="1"/>
  <c r="R24" i="9"/>
  <c r="R34" i="9"/>
  <c r="S34" i="9"/>
  <c r="T34" i="9" s="1"/>
  <c r="S45" i="9"/>
  <c r="T45" i="9" s="1"/>
  <c r="R45" i="9"/>
  <c r="S54" i="9"/>
  <c r="T54" i="9" s="1"/>
  <c r="R54" i="9"/>
  <c r="S63" i="9"/>
  <c r="T63" i="9" s="1"/>
  <c r="R63" i="9"/>
  <c r="S72" i="9"/>
  <c r="T72" i="9" s="1"/>
  <c r="R72" i="9"/>
  <c r="R81" i="9"/>
  <c r="S81" i="9"/>
  <c r="T81" i="9" s="1"/>
  <c r="S92" i="9"/>
  <c r="T92" i="9" s="1"/>
  <c r="R92" i="9"/>
  <c r="S16" i="9"/>
  <c r="T16" i="9" s="1"/>
  <c r="R16" i="9"/>
  <c r="S3" i="9"/>
  <c r="T3" i="9" s="1"/>
  <c r="R3" i="9"/>
  <c r="S14" i="9"/>
  <c r="T14" i="9" s="1"/>
  <c r="R14" i="9"/>
  <c r="S23" i="9"/>
  <c r="T23" i="9" s="1"/>
  <c r="R23" i="9"/>
  <c r="R44" i="9"/>
  <c r="S44" i="9"/>
  <c r="T44" i="9" s="1"/>
  <c r="S53" i="9"/>
  <c r="T53" i="9" s="1"/>
  <c r="R53" i="9"/>
  <c r="R62" i="9"/>
  <c r="S62" i="9"/>
  <c r="T62" i="9" s="1"/>
  <c r="S70" i="9"/>
  <c r="T70" i="9" s="1"/>
  <c r="R70" i="9"/>
  <c r="S71" i="9"/>
  <c r="T71" i="9" s="1"/>
  <c r="R71" i="9"/>
  <c r="S80" i="9"/>
  <c r="T80" i="9" s="1"/>
  <c r="R80" i="9"/>
  <c r="S91" i="9"/>
  <c r="T91" i="9" s="1"/>
  <c r="R91" i="9"/>
  <c r="R22" i="9"/>
  <c r="S22" i="9"/>
  <c r="T22" i="9" s="1"/>
  <c r="S31" i="9"/>
  <c r="T31" i="9" s="1"/>
  <c r="R31" i="9"/>
  <c r="S32" i="9"/>
  <c r="T32" i="9" s="1"/>
  <c r="R32" i="9"/>
  <c r="R42" i="9"/>
  <c r="S42" i="9"/>
  <c r="T42" i="9" s="1"/>
  <c r="S43" i="9"/>
  <c r="T43" i="9" s="1"/>
  <c r="R43" i="9"/>
  <c r="S52" i="9"/>
  <c r="T52" i="9" s="1"/>
  <c r="R52" i="9"/>
  <c r="S61" i="9"/>
  <c r="T61" i="9" s="1"/>
  <c r="R61" i="9"/>
  <c r="S69" i="9"/>
  <c r="T69" i="9" s="1"/>
  <c r="R69" i="9"/>
  <c r="S79" i="9"/>
  <c r="T79" i="9" s="1"/>
  <c r="R79" i="9"/>
  <c r="R89" i="9"/>
  <c r="S89" i="9"/>
  <c r="T89" i="9" s="1"/>
  <c r="S90" i="9"/>
  <c r="T90" i="9" s="1"/>
  <c r="R90" i="9"/>
  <c r="O68" i="9"/>
  <c r="Q68" i="9" s="1"/>
  <c r="AY71" i="2" s="1"/>
  <c r="O29" i="9"/>
  <c r="O38" i="9"/>
  <c r="P49" i="9"/>
  <c r="O49" i="9"/>
  <c r="Q49" i="9" s="1"/>
  <c r="AY52" i="2" s="1"/>
  <c r="P59" i="9"/>
  <c r="O59" i="9"/>
  <c r="Q59" i="9" s="1"/>
  <c r="AY62" i="2" s="1"/>
  <c r="O87" i="9"/>
  <c r="Q87" i="9" s="1"/>
  <c r="AY90" i="2" s="1"/>
  <c r="O28" i="9"/>
  <c r="O37" i="9"/>
  <c r="O48" i="9"/>
  <c r="Q48" i="9" s="1"/>
  <c r="AY51" i="2" s="1"/>
  <c r="P57" i="9"/>
  <c r="O57" i="9"/>
  <c r="Q57" i="9" s="1"/>
  <c r="AY60" i="2" s="1"/>
  <c r="P66" i="9"/>
  <c r="O66" i="9"/>
  <c r="Q66" i="9" s="1"/>
  <c r="AY69" i="2" s="1"/>
  <c r="P76" i="9"/>
  <c r="O76" i="9"/>
  <c r="Q76" i="9" s="1"/>
  <c r="AY79" i="2" s="1"/>
  <c r="O85" i="9"/>
  <c r="Q85" i="9" s="1"/>
  <c r="AY88" i="2" s="1"/>
  <c r="O96" i="9"/>
  <c r="Q96" i="9" s="1"/>
  <c r="AY99" i="2" s="1"/>
  <c r="P58" i="9"/>
  <c r="O58" i="9"/>
  <c r="Q58" i="9" s="1"/>
  <c r="AY61" i="2" s="1"/>
  <c r="O36" i="9"/>
  <c r="O47" i="9"/>
  <c r="Q47" i="9" s="1"/>
  <c r="AY50" i="2" s="1"/>
  <c r="O56" i="9"/>
  <c r="Q56" i="9" s="1"/>
  <c r="AY59" i="2" s="1"/>
  <c r="P65" i="9"/>
  <c r="O65" i="9"/>
  <c r="Q65" i="9" s="1"/>
  <c r="AY68" i="2" s="1"/>
  <c r="P74" i="9"/>
  <c r="O74" i="9"/>
  <c r="Q74" i="9" s="1"/>
  <c r="AY77" i="2" s="1"/>
  <c r="P75" i="9"/>
  <c r="O75" i="9"/>
  <c r="Q75" i="9" s="1"/>
  <c r="AY78" i="2" s="1"/>
  <c r="P84" i="9"/>
  <c r="O84" i="9"/>
  <c r="Q84" i="9" s="1"/>
  <c r="AY87" i="2" s="1"/>
  <c r="O94" i="9"/>
  <c r="Q94" i="9" s="1"/>
  <c r="AY97" i="2" s="1"/>
  <c r="O95" i="9"/>
  <c r="Q95" i="9" s="1"/>
  <c r="AY98" i="2" s="1"/>
  <c r="O35" i="9"/>
  <c r="Q35" i="9" s="1"/>
  <c r="AY38" i="2" s="1"/>
  <c r="O46" i="9"/>
  <c r="Q46" i="9" s="1"/>
  <c r="AY49" i="2" s="1"/>
  <c r="O55" i="9"/>
  <c r="Q55" i="9" s="1"/>
  <c r="AY58" i="2" s="1"/>
  <c r="O64" i="9"/>
  <c r="Q64" i="9" s="1"/>
  <c r="AY67" i="2" s="1"/>
  <c r="P73" i="9"/>
  <c r="O73" i="9"/>
  <c r="Q73" i="9" s="1"/>
  <c r="AY76" i="2" s="1"/>
  <c r="P82" i="9"/>
  <c r="O82" i="9"/>
  <c r="Q82" i="9" s="1"/>
  <c r="AY85" i="2" s="1"/>
  <c r="P83" i="9"/>
  <c r="O83" i="9"/>
  <c r="Q83" i="9" s="1"/>
  <c r="AY86" i="2" s="1"/>
  <c r="O93" i="9"/>
  <c r="Q93" i="9" s="1"/>
  <c r="AY96" i="2" s="1"/>
  <c r="P41" i="9"/>
  <c r="O41" i="9"/>
  <c r="Q41" i="9" s="1"/>
  <c r="AY44" i="2" s="1"/>
  <c r="P51" i="9"/>
  <c r="O51" i="9"/>
  <c r="Q51" i="9" s="1"/>
  <c r="AY54" i="2" s="1"/>
  <c r="P98" i="9"/>
  <c r="O98" i="9"/>
  <c r="Q98" i="9" s="1"/>
  <c r="AY101" i="2" s="1"/>
  <c r="O40" i="9"/>
  <c r="O34" i="9"/>
  <c r="O45" i="9"/>
  <c r="Q45" i="9" s="1"/>
  <c r="AY48" i="2" s="1"/>
  <c r="O54" i="9"/>
  <c r="Q54" i="9" s="1"/>
  <c r="AY57" i="2" s="1"/>
  <c r="O63" i="9"/>
  <c r="Q63" i="9" s="1"/>
  <c r="AY66" i="2" s="1"/>
  <c r="O72" i="9"/>
  <c r="Q72" i="9" s="1"/>
  <c r="AY75" i="2" s="1"/>
  <c r="P81" i="9"/>
  <c r="O81" i="9"/>
  <c r="Q81" i="9" s="1"/>
  <c r="AY84" i="2" s="1"/>
  <c r="O92" i="9"/>
  <c r="Q92" i="9" s="1"/>
  <c r="AY95" i="2" s="1"/>
  <c r="O77" i="9"/>
  <c r="Q77" i="9" s="1"/>
  <c r="AY80" i="2" s="1"/>
  <c r="P97" i="9"/>
  <c r="O97" i="9"/>
  <c r="Q97" i="9" s="1"/>
  <c r="AY100" i="2" s="1"/>
  <c r="O33" i="9"/>
  <c r="O44" i="9"/>
  <c r="Q44" i="9" s="1"/>
  <c r="AY47" i="2" s="1"/>
  <c r="O53" i="9"/>
  <c r="Q53" i="9" s="1"/>
  <c r="AY56" i="2" s="1"/>
  <c r="O62" i="9"/>
  <c r="Q62" i="9" s="1"/>
  <c r="AY65" i="2" s="1"/>
  <c r="O70" i="9"/>
  <c r="Q70" i="9" s="1"/>
  <c r="AY73" i="2" s="1"/>
  <c r="O80" i="9"/>
  <c r="Q80" i="9" s="1"/>
  <c r="AY83" i="2" s="1"/>
  <c r="P91" i="9"/>
  <c r="O91" i="9"/>
  <c r="Q91" i="9" s="1"/>
  <c r="AY94" i="2" s="1"/>
  <c r="O30" i="9"/>
  <c r="P50" i="9"/>
  <c r="O50" i="9"/>
  <c r="Q50" i="9" s="1"/>
  <c r="AY53" i="2" s="1"/>
  <c r="O60" i="9"/>
  <c r="Q60" i="9" s="1"/>
  <c r="AY63" i="2" s="1"/>
  <c r="O78" i="9"/>
  <c r="Q78" i="9" s="1"/>
  <c r="AY81" i="2" s="1"/>
  <c r="O88" i="9"/>
  <c r="Q88" i="9" s="1"/>
  <c r="AY91" i="2" s="1"/>
  <c r="O39" i="9"/>
  <c r="P67" i="9"/>
  <c r="O67" i="9"/>
  <c r="Q67" i="9" s="1"/>
  <c r="AY70" i="2" s="1"/>
  <c r="O86" i="9"/>
  <c r="Q86" i="9" s="1"/>
  <c r="AY89" i="2" s="1"/>
  <c r="O31" i="9"/>
  <c r="O32" i="9"/>
  <c r="P42" i="9"/>
  <c r="O42" i="9"/>
  <c r="Q42" i="9" s="1"/>
  <c r="AY45" i="2" s="1"/>
  <c r="P43" i="9"/>
  <c r="O43" i="9"/>
  <c r="Q43" i="9" s="1"/>
  <c r="AY46" i="2" s="1"/>
  <c r="O52" i="9"/>
  <c r="Q52" i="9" s="1"/>
  <c r="AY55" i="2" s="1"/>
  <c r="O61" i="9"/>
  <c r="Q61" i="9" s="1"/>
  <c r="AY64" i="2" s="1"/>
  <c r="O69" i="9"/>
  <c r="Q69" i="9" s="1"/>
  <c r="AY72" i="2" s="1"/>
  <c r="O79" i="9"/>
  <c r="Q79" i="9" s="1"/>
  <c r="AY82" i="2" s="1"/>
  <c r="P89" i="9"/>
  <c r="O89" i="9"/>
  <c r="Q89" i="9" s="1"/>
  <c r="AY92" i="2" s="1"/>
  <c r="P90" i="9"/>
  <c r="O90" i="9"/>
  <c r="Q90" i="9" s="1"/>
  <c r="AY93" i="2" s="1"/>
  <c r="J51" i="9"/>
  <c r="K51" i="9" s="1"/>
  <c r="N51" i="9" s="1"/>
  <c r="M54" i="2" s="1"/>
  <c r="J31" i="9"/>
  <c r="K31" i="9" s="1"/>
  <c r="N31" i="9" s="1"/>
  <c r="M34" i="2" s="1"/>
  <c r="J56" i="9"/>
  <c r="L56" i="9" s="1"/>
  <c r="P44" i="9"/>
  <c r="P52" i="9"/>
  <c r="P60" i="9"/>
  <c r="P68" i="9"/>
  <c r="P92" i="9"/>
  <c r="J33" i="9"/>
  <c r="K33" i="9" s="1"/>
  <c r="N33" i="9" s="1"/>
  <c r="M36" i="2" s="1"/>
  <c r="P45" i="9"/>
  <c r="P53" i="9"/>
  <c r="P61" i="9"/>
  <c r="P69" i="9"/>
  <c r="P77" i="9"/>
  <c r="P85" i="9"/>
  <c r="P93" i="9"/>
  <c r="P46" i="9"/>
  <c r="P54" i="9"/>
  <c r="P62" i="9"/>
  <c r="P70" i="9"/>
  <c r="P78" i="9"/>
  <c r="P86" i="9"/>
  <c r="P94" i="9"/>
  <c r="P47" i="9"/>
  <c r="P55" i="9"/>
  <c r="P63" i="9"/>
  <c r="P71" i="9"/>
  <c r="P79" i="9"/>
  <c r="P87" i="9"/>
  <c r="P95" i="9"/>
  <c r="J45" i="9"/>
  <c r="L45" i="9" s="1"/>
  <c r="J70" i="9"/>
  <c r="L70" i="9" s="1"/>
  <c r="P48" i="9"/>
  <c r="P56" i="9"/>
  <c r="P64" i="9"/>
  <c r="P72" i="9"/>
  <c r="P80" i="9"/>
  <c r="P88" i="9"/>
  <c r="P96" i="9"/>
  <c r="J47" i="9"/>
  <c r="L47" i="9" s="1"/>
  <c r="J8" i="9"/>
  <c r="L8" i="9" s="1"/>
  <c r="J9" i="9"/>
  <c r="L9" i="9" s="1"/>
  <c r="P9" i="9"/>
  <c r="P11" i="9"/>
  <c r="P35" i="9"/>
  <c r="P40" i="9"/>
  <c r="P39" i="9"/>
  <c r="P38" i="9"/>
  <c r="P36" i="9"/>
  <c r="P19" i="9"/>
  <c r="P27" i="9"/>
  <c r="O27" i="9" s="1"/>
  <c r="J11" i="9"/>
  <c r="L11" i="9" s="1"/>
  <c r="P34" i="9"/>
  <c r="P3" i="9"/>
  <c r="P4" i="9"/>
  <c r="P12" i="9"/>
  <c r="P20" i="9"/>
  <c r="P28" i="9"/>
  <c r="P5" i="9"/>
  <c r="P13" i="9"/>
  <c r="P21" i="9"/>
  <c r="P29" i="9"/>
  <c r="P37" i="9"/>
  <c r="P6" i="9"/>
  <c r="P14" i="9"/>
  <c r="P22" i="9"/>
  <c r="P30" i="9"/>
  <c r="P7" i="9"/>
  <c r="P15" i="9"/>
  <c r="P23" i="9"/>
  <c r="P31" i="9"/>
  <c r="P8" i="9"/>
  <c r="P16" i="9"/>
  <c r="P24" i="9"/>
  <c r="O24" i="9" s="1"/>
  <c r="P32" i="9"/>
  <c r="P17" i="9"/>
  <c r="P25" i="9"/>
  <c r="P33" i="9"/>
  <c r="P10" i="9"/>
  <c r="P18" i="9"/>
  <c r="P26" i="9"/>
  <c r="J10" i="9"/>
  <c r="K10" i="9" s="1"/>
  <c r="R10" i="9" s="1"/>
  <c r="J7" i="9"/>
  <c r="K7" i="9" s="1"/>
  <c r="R7" i="9" s="1"/>
  <c r="J6" i="9"/>
  <c r="K6" i="9" s="1"/>
  <c r="R6" i="9" s="1"/>
  <c r="J96" i="9"/>
  <c r="K96" i="9" s="1"/>
  <c r="N96" i="9" s="1"/>
  <c r="M99" i="2" s="1"/>
  <c r="J35" i="9"/>
  <c r="L35" i="9" s="1"/>
  <c r="J49" i="9"/>
  <c r="K49" i="9" s="1"/>
  <c r="N49" i="9" s="1"/>
  <c r="M52" i="2" s="1"/>
  <c r="J68" i="9"/>
  <c r="L68" i="9" s="1"/>
  <c r="J5" i="9"/>
  <c r="J26" i="9"/>
  <c r="K26" i="9" s="1"/>
  <c r="J52" i="9"/>
  <c r="L52" i="9" s="1"/>
  <c r="J60" i="9"/>
  <c r="L60" i="9" s="1"/>
  <c r="J74" i="9"/>
  <c r="K74" i="9" s="1"/>
  <c r="N74" i="9" s="1"/>
  <c r="M77" i="2" s="1"/>
  <c r="J91" i="9"/>
  <c r="L91" i="9" s="1"/>
  <c r="J94" i="9"/>
  <c r="K94" i="9" s="1"/>
  <c r="N94" i="9" s="1"/>
  <c r="M97" i="2" s="1"/>
  <c r="J72" i="9"/>
  <c r="L72" i="9" s="1"/>
  <c r="J4" i="9"/>
  <c r="L4" i="9" s="1"/>
  <c r="J12" i="9"/>
  <c r="L12" i="9" s="1"/>
  <c r="J13" i="9"/>
  <c r="K13" i="9" s="1"/>
  <c r="R13" i="9" s="1"/>
  <c r="J29" i="9"/>
  <c r="K29" i="9" s="1"/>
  <c r="N29" i="9" s="1"/>
  <c r="M32" i="2" s="1"/>
  <c r="J18" i="9"/>
  <c r="L18" i="9" s="1"/>
  <c r="J43" i="9"/>
  <c r="L43" i="9" s="1"/>
  <c r="J87" i="9"/>
  <c r="L87" i="9" s="1"/>
  <c r="J41" i="9"/>
  <c r="L41" i="9" s="1"/>
  <c r="J82" i="9"/>
  <c r="L82" i="9" s="1"/>
  <c r="J19" i="9"/>
  <c r="J39" i="9"/>
  <c r="L39" i="9" s="1"/>
  <c r="J37" i="9"/>
  <c r="L37" i="9" s="1"/>
  <c r="J64" i="9"/>
  <c r="K64" i="9" s="1"/>
  <c r="N64" i="9" s="1"/>
  <c r="M67" i="2" s="1"/>
  <c r="J78" i="9"/>
  <c r="L78" i="9" s="1"/>
  <c r="J89" i="9"/>
  <c r="K89" i="9" s="1"/>
  <c r="N89" i="9" s="1"/>
  <c r="M92" i="2" s="1"/>
  <c r="J20" i="9"/>
  <c r="L20" i="9" s="1"/>
  <c r="J28" i="9"/>
  <c r="L28" i="9" s="1"/>
  <c r="J38" i="9"/>
  <c r="L38" i="9" s="1"/>
  <c r="J42" i="9"/>
  <c r="K42" i="9" s="1"/>
  <c r="N42" i="9" s="1"/>
  <c r="M45" i="2" s="1"/>
  <c r="J61" i="9"/>
  <c r="L61" i="9" s="1"/>
  <c r="J63" i="9"/>
  <c r="K63" i="9" s="1"/>
  <c r="N63" i="9" s="1"/>
  <c r="M66" i="2" s="1"/>
  <c r="J65" i="9"/>
  <c r="L65" i="9" s="1"/>
  <c r="J67" i="9"/>
  <c r="L67" i="9" s="1"/>
  <c r="J86" i="9"/>
  <c r="K86" i="9" s="1"/>
  <c r="N86" i="9" s="1"/>
  <c r="M89" i="2" s="1"/>
  <c r="J21" i="9"/>
  <c r="K21" i="9" s="1"/>
  <c r="N21" i="9" s="1"/>
  <c r="M24" i="2" s="1"/>
  <c r="J24" i="9"/>
  <c r="L24" i="9" s="1"/>
  <c r="J30" i="9"/>
  <c r="K30" i="9" s="1"/>
  <c r="N30" i="9" s="1"/>
  <c r="M33" i="2" s="1"/>
  <c r="J34" i="9"/>
  <c r="L34" i="9" s="1"/>
  <c r="J53" i="9"/>
  <c r="L53" i="9" s="1"/>
  <c r="J55" i="9"/>
  <c r="L55" i="9" s="1"/>
  <c r="J57" i="9"/>
  <c r="K57" i="9" s="1"/>
  <c r="N57" i="9" s="1"/>
  <c r="M60" i="2" s="1"/>
  <c r="J59" i="9"/>
  <c r="L59" i="9" s="1"/>
  <c r="J80" i="9"/>
  <c r="L80" i="9" s="1"/>
  <c r="J84" i="9"/>
  <c r="L84" i="9" s="1"/>
  <c r="J93" i="9"/>
  <c r="K93" i="9" s="1"/>
  <c r="N93" i="9" s="1"/>
  <c r="M96" i="2" s="1"/>
  <c r="J76" i="9"/>
  <c r="K76" i="9" s="1"/>
  <c r="N76" i="9" s="1"/>
  <c r="M79" i="2" s="1"/>
  <c r="J98" i="9"/>
  <c r="K98" i="9" s="1"/>
  <c r="N98" i="9" s="1"/>
  <c r="M101" i="2" s="1"/>
  <c r="J25" i="9"/>
  <c r="K25" i="9" s="1"/>
  <c r="J27" i="9"/>
  <c r="L27" i="9" s="1"/>
  <c r="J48" i="9"/>
  <c r="L48" i="9" s="1"/>
  <c r="J62" i="9"/>
  <c r="K62" i="9" s="1"/>
  <c r="N62" i="9" s="1"/>
  <c r="M65" i="2" s="1"/>
  <c r="J66" i="9"/>
  <c r="L66" i="9" s="1"/>
  <c r="J85" i="9"/>
  <c r="L85" i="9" s="1"/>
  <c r="J92" i="9"/>
  <c r="K92" i="9" s="1"/>
  <c r="N92" i="9" s="1"/>
  <c r="M95" i="2" s="1"/>
  <c r="J14" i="9"/>
  <c r="L14" i="9" s="1"/>
  <c r="J40" i="9"/>
  <c r="K40" i="9" s="1"/>
  <c r="N40" i="9" s="1"/>
  <c r="M43" i="2" s="1"/>
  <c r="J44" i="9"/>
  <c r="L44" i="9" s="1"/>
  <c r="J54" i="9"/>
  <c r="K54" i="9" s="1"/>
  <c r="N54" i="9" s="1"/>
  <c r="M57" i="2" s="1"/>
  <c r="J58" i="9"/>
  <c r="K58" i="9" s="1"/>
  <c r="N58" i="9" s="1"/>
  <c r="M61" i="2" s="1"/>
  <c r="J77" i="9"/>
  <c r="L77" i="9" s="1"/>
  <c r="J79" i="9"/>
  <c r="L79" i="9" s="1"/>
  <c r="J81" i="9"/>
  <c r="L81" i="9" s="1"/>
  <c r="J83" i="9"/>
  <c r="K83" i="9" s="1"/>
  <c r="N83" i="9" s="1"/>
  <c r="M86" i="2" s="1"/>
  <c r="J90" i="9"/>
  <c r="K90" i="9" s="1"/>
  <c r="N90" i="9" s="1"/>
  <c r="M93" i="2" s="1"/>
  <c r="J97" i="9"/>
  <c r="K97" i="9" s="1"/>
  <c r="N97" i="9" s="1"/>
  <c r="M100" i="2" s="1"/>
  <c r="J32" i="9"/>
  <c r="K32" i="9" s="1"/>
  <c r="N32" i="9" s="1"/>
  <c r="M35" i="2" s="1"/>
  <c r="J36" i="9"/>
  <c r="K36" i="9" s="1"/>
  <c r="N36" i="9" s="1"/>
  <c r="M39" i="2" s="1"/>
  <c r="J46" i="9"/>
  <c r="L46" i="9" s="1"/>
  <c r="J50" i="9"/>
  <c r="K50" i="9" s="1"/>
  <c r="N50" i="9" s="1"/>
  <c r="M53" i="2" s="1"/>
  <c r="J69" i="9"/>
  <c r="L69" i="9" s="1"/>
  <c r="J71" i="9"/>
  <c r="L71" i="9" s="1"/>
  <c r="J73" i="9"/>
  <c r="K73" i="9" s="1"/>
  <c r="N73" i="9" s="1"/>
  <c r="M76" i="2" s="1"/>
  <c r="J75" i="9"/>
  <c r="K75" i="9" s="1"/>
  <c r="N75" i="9" s="1"/>
  <c r="M78" i="2" s="1"/>
  <c r="J88" i="9"/>
  <c r="L88" i="9" s="1"/>
  <c r="J95" i="9"/>
  <c r="L95" i="9" s="1"/>
  <c r="J22" i="9"/>
  <c r="L22" i="9" s="1"/>
  <c r="J17" i="9"/>
  <c r="K17" i="9" s="1"/>
  <c r="J16" i="9"/>
  <c r="K16" i="9" s="1"/>
  <c r="J15" i="9"/>
  <c r="L15" i="9" s="1"/>
  <c r="J23" i="9"/>
  <c r="K23" i="9" s="1"/>
  <c r="J3" i="9"/>
  <c r="O25" i="9" l="1"/>
  <c r="Q25" i="9" s="1"/>
  <c r="AY28" i="2" s="1"/>
  <c r="O18" i="9"/>
  <c r="Q18" i="9" s="1"/>
  <c r="AY20" i="2" s="1"/>
  <c r="O26" i="9"/>
  <c r="Q26" i="9" s="1"/>
  <c r="AY29" i="2" s="1"/>
  <c r="O23" i="9"/>
  <c r="Q23" i="9" s="1"/>
  <c r="AY26" i="2" s="1"/>
  <c r="O22" i="9"/>
  <c r="Q22" i="9" s="1"/>
  <c r="AY25" i="2" s="1"/>
  <c r="O17" i="9"/>
  <c r="Q17" i="9" s="1"/>
  <c r="AY19" i="2" s="1"/>
  <c r="O14" i="9"/>
  <c r="Q14" i="9" s="1"/>
  <c r="AY16" i="2" s="1"/>
  <c r="O71" i="9"/>
  <c r="Q71" i="9" s="1"/>
  <c r="AY74" i="2" s="1"/>
  <c r="O10" i="9"/>
  <c r="Q10" i="9" s="1"/>
  <c r="AY12" i="2" s="1"/>
  <c r="O8" i="9"/>
  <c r="Q8" i="9" s="1"/>
  <c r="AY10" i="2" s="1"/>
  <c r="L31" i="9"/>
  <c r="K56" i="9"/>
  <c r="L51" i="9"/>
  <c r="O6" i="9"/>
  <c r="Q6" i="9" s="1"/>
  <c r="AY8" i="2" s="1"/>
  <c r="O19" i="9"/>
  <c r="Q19" i="9" s="1"/>
  <c r="AY21" i="2" s="1"/>
  <c r="O12" i="9"/>
  <c r="Q12" i="9" s="1"/>
  <c r="AY14" i="2" s="1"/>
  <c r="O16" i="9"/>
  <c r="Q16" i="9" s="1"/>
  <c r="AY18" i="2" s="1"/>
  <c r="O20" i="9"/>
  <c r="Q20" i="9" s="1"/>
  <c r="AY23" i="2" s="1"/>
  <c r="O15" i="9"/>
  <c r="Q15" i="9" s="1"/>
  <c r="AY17" i="2" s="1"/>
  <c r="O21" i="9"/>
  <c r="Q21" i="9" s="1"/>
  <c r="AY24" i="2" s="1"/>
  <c r="O13" i="9"/>
  <c r="Q13" i="9" s="1"/>
  <c r="AY15" i="2" s="1"/>
  <c r="O11" i="9"/>
  <c r="Q11" i="9" s="1"/>
  <c r="AY13" i="2" s="1"/>
  <c r="O7" i="9"/>
  <c r="Q7" i="9" s="1"/>
  <c r="AY9" i="2" s="1"/>
  <c r="O4" i="9"/>
  <c r="Q4" i="9" s="1"/>
  <c r="AY6" i="2" s="1"/>
  <c r="O3" i="9"/>
  <c r="Q3" i="9" s="1"/>
  <c r="AY5" i="2" s="1"/>
  <c r="O9" i="9"/>
  <c r="Q9" i="9" s="1"/>
  <c r="AY11" i="2" s="1"/>
  <c r="K5" i="9"/>
  <c r="R5" i="9" s="1"/>
  <c r="O5" i="9"/>
  <c r="Q5" i="9" s="1"/>
  <c r="AY7" i="2" s="1"/>
  <c r="Q27" i="9"/>
  <c r="AY30" i="2" s="1"/>
  <c r="Q34" i="9"/>
  <c r="AY37" i="2" s="1"/>
  <c r="Q40" i="9"/>
  <c r="AY43" i="2" s="1"/>
  <c r="Q33" i="9"/>
  <c r="AY36" i="2" s="1"/>
  <c r="Q29" i="9"/>
  <c r="AY32" i="2" s="1"/>
  <c r="Q32" i="9"/>
  <c r="AY35" i="2" s="1"/>
  <c r="Q28" i="9"/>
  <c r="AY31" i="2" s="1"/>
  <c r="Q30" i="9"/>
  <c r="AY33" i="2" s="1"/>
  <c r="L33" i="9"/>
  <c r="K41" i="9"/>
  <c r="N41" i="9" s="1"/>
  <c r="M44" i="2" s="1"/>
  <c r="K9" i="9"/>
  <c r="L58" i="9"/>
  <c r="K66" i="9"/>
  <c r="N66" i="9" s="1"/>
  <c r="M69" i="2" s="1"/>
  <c r="K70" i="9"/>
  <c r="N70" i="9" s="1"/>
  <c r="M73" i="2" s="1"/>
  <c r="L50" i="9"/>
  <c r="K84" i="9"/>
  <c r="N84" i="9" s="1"/>
  <c r="M87" i="2" s="1"/>
  <c r="K95" i="9"/>
  <c r="N95" i="9" s="1"/>
  <c r="M98" i="2" s="1"/>
  <c r="K60" i="9"/>
  <c r="N60" i="9" s="1"/>
  <c r="M63" i="2" s="1"/>
  <c r="K45" i="9"/>
  <c r="N45" i="9" s="1"/>
  <c r="M48" i="2" s="1"/>
  <c r="L93" i="9"/>
  <c r="K53" i="9"/>
  <c r="N53" i="9" s="1"/>
  <c r="M56" i="2" s="1"/>
  <c r="K61" i="9"/>
  <c r="N61" i="9" s="1"/>
  <c r="M64" i="2" s="1"/>
  <c r="K77" i="9"/>
  <c r="N77" i="9" s="1"/>
  <c r="M80" i="2" s="1"/>
  <c r="L64" i="9"/>
  <c r="K68" i="9"/>
  <c r="N68" i="9" s="1"/>
  <c r="M71" i="2" s="1"/>
  <c r="K91" i="9"/>
  <c r="N91" i="9" s="1"/>
  <c r="M94" i="2" s="1"/>
  <c r="L94" i="9"/>
  <c r="L83" i="9"/>
  <c r="K67" i="9"/>
  <c r="N67" i="9" s="1"/>
  <c r="M70" i="2" s="1"/>
  <c r="L97" i="9"/>
  <c r="L92" i="9"/>
  <c r="L75" i="9"/>
  <c r="K87" i="9"/>
  <c r="N87" i="9" s="1"/>
  <c r="M90" i="2" s="1"/>
  <c r="L98" i="9"/>
  <c r="K52" i="9"/>
  <c r="N52" i="9" s="1"/>
  <c r="M55" i="2" s="1"/>
  <c r="K8" i="9"/>
  <c r="K48" i="9"/>
  <c r="N48" i="9" s="1"/>
  <c r="M51" i="2" s="1"/>
  <c r="K81" i="9"/>
  <c r="N81" i="9" s="1"/>
  <c r="M84" i="2" s="1"/>
  <c r="L76" i="9"/>
  <c r="K69" i="9"/>
  <c r="N69" i="9" s="1"/>
  <c r="M72" i="2" s="1"/>
  <c r="K78" i="9"/>
  <c r="N78" i="9" s="1"/>
  <c r="M81" i="2" s="1"/>
  <c r="L42" i="9"/>
  <c r="L89" i="9"/>
  <c r="K65" i="9"/>
  <c r="N65" i="9" s="1"/>
  <c r="M68" i="2" s="1"/>
  <c r="K47" i="9"/>
  <c r="N47" i="9" s="1"/>
  <c r="M50" i="2" s="1"/>
  <c r="K85" i="9"/>
  <c r="N85" i="9" s="1"/>
  <c r="M88" i="2" s="1"/>
  <c r="L90" i="9"/>
  <c r="K55" i="9"/>
  <c r="N55" i="9" s="1"/>
  <c r="M58" i="2" s="1"/>
  <c r="L73" i="9"/>
  <c r="K72" i="9"/>
  <c r="N72" i="9" s="1"/>
  <c r="M75" i="2" s="1"/>
  <c r="L63" i="9"/>
  <c r="K82" i="9"/>
  <c r="N82" i="9" s="1"/>
  <c r="M85" i="2" s="1"/>
  <c r="K43" i="9"/>
  <c r="N43" i="9" s="1"/>
  <c r="M46" i="2" s="1"/>
  <c r="K59" i="9"/>
  <c r="N59" i="9" s="1"/>
  <c r="M62" i="2" s="1"/>
  <c r="K80" i="9"/>
  <c r="N80" i="9" s="1"/>
  <c r="M83" i="2" s="1"/>
  <c r="L62" i="9"/>
  <c r="K44" i="9"/>
  <c r="N44" i="9" s="1"/>
  <c r="M47" i="2" s="1"/>
  <c r="K27" i="9"/>
  <c r="N27" i="9" s="1"/>
  <c r="M30" i="2" s="1"/>
  <c r="K46" i="9"/>
  <c r="N46" i="9" s="1"/>
  <c r="M49" i="2" s="1"/>
  <c r="L74" i="9"/>
  <c r="K71" i="9"/>
  <c r="N71" i="9" s="1"/>
  <c r="M74" i="2" s="1"/>
  <c r="L57" i="9"/>
  <c r="K88" i="9"/>
  <c r="N88" i="9" s="1"/>
  <c r="M91" i="2" s="1"/>
  <c r="L96" i="9"/>
  <c r="L86" i="9"/>
  <c r="L54" i="9"/>
  <c r="K35" i="9"/>
  <c r="N35" i="9" s="1"/>
  <c r="M38" i="2" s="1"/>
  <c r="K79" i="9"/>
  <c r="N79" i="9" s="1"/>
  <c r="M82" i="2" s="1"/>
  <c r="L49" i="9"/>
  <c r="K11" i="9"/>
  <c r="L7" i="9"/>
  <c r="L6" i="9"/>
  <c r="K4" i="9"/>
  <c r="R4" i="9" s="1"/>
  <c r="L5" i="9"/>
  <c r="L3" i="9"/>
  <c r="K3" i="9"/>
  <c r="K34" i="9"/>
  <c r="N34" i="9" s="1"/>
  <c r="M37" i="2" s="1"/>
  <c r="K24" i="9"/>
  <c r="N24" i="9" s="1"/>
  <c r="M27" i="2" s="1"/>
  <c r="Q38" i="9"/>
  <c r="AY41" i="2" s="1"/>
  <c r="K38" i="9"/>
  <c r="N38" i="9" s="1"/>
  <c r="M41" i="2" s="1"/>
  <c r="K39" i="9"/>
  <c r="N39" i="9" s="1"/>
  <c r="M42" i="2" s="1"/>
  <c r="Q39" i="9"/>
  <c r="AY42" i="2" s="1"/>
  <c r="L40" i="9"/>
  <c r="Q36" i="9"/>
  <c r="AY39" i="2" s="1"/>
  <c r="L36" i="9"/>
  <c r="Q31" i="9"/>
  <c r="AY34" i="2" s="1"/>
  <c r="K14" i="9"/>
  <c r="N14" i="9" s="1"/>
  <c r="M16" i="2" s="1"/>
  <c r="K15" i="9"/>
  <c r="N15" i="9" s="1"/>
  <c r="M17" i="2" s="1"/>
  <c r="L26" i="9"/>
  <c r="N26" i="9" s="1"/>
  <c r="M29" i="2" s="1"/>
  <c r="L21" i="9"/>
  <c r="L32" i="9"/>
  <c r="L16" i="9"/>
  <c r="N16" i="9" s="1"/>
  <c r="M18" i="2" s="1"/>
  <c r="L25" i="9"/>
  <c r="N25" i="9" s="1"/>
  <c r="M28" i="2" s="1"/>
  <c r="L29" i="9"/>
  <c r="K28" i="9"/>
  <c r="N28" i="9" s="1"/>
  <c r="M31" i="2" s="1"/>
  <c r="L17" i="9"/>
  <c r="N17" i="9" s="1"/>
  <c r="M19" i="2" s="1"/>
  <c r="L23" i="9"/>
  <c r="N23" i="9" s="1"/>
  <c r="M26" i="2" s="1"/>
  <c r="Q24" i="9"/>
  <c r="AY27" i="2" s="1"/>
  <c r="K22" i="9"/>
  <c r="N22" i="9" s="1"/>
  <c r="M25" i="2" s="1"/>
  <c r="K19" i="9"/>
  <c r="N19" i="9" s="1"/>
  <c r="M21" i="2" s="1"/>
  <c r="L30" i="9"/>
  <c r="K18" i="9"/>
  <c r="N18" i="9" s="1"/>
  <c r="M20" i="2" s="1"/>
  <c r="L19" i="9"/>
  <c r="K20" i="9"/>
  <c r="N20" i="9" s="1"/>
  <c r="M23" i="2" s="1"/>
  <c r="L13" i="9"/>
  <c r="K12" i="9"/>
  <c r="R12" i="9" s="1"/>
  <c r="K37" i="9"/>
  <c r="N37" i="9" s="1"/>
  <c r="M40" i="2" s="1"/>
  <c r="Q37" i="9"/>
  <c r="AY40" i="2" s="1"/>
  <c r="L10" i="9"/>
  <c r="N3" i="9" l="1"/>
  <c r="M5" i="2" s="1"/>
  <c r="R11" i="9"/>
  <c r="R9" i="9"/>
  <c r="R8" i="9"/>
  <c r="N56" i="9"/>
  <c r="M59" i="2" s="1"/>
  <c r="S12" i="9"/>
  <c r="T12" i="9" s="1"/>
  <c r="S13" i="9"/>
  <c r="T13" i="9" s="1"/>
  <c r="S4" i="9"/>
  <c r="T4" i="9" s="1"/>
  <c r="S9" i="9" l="1"/>
  <c r="T9" i="9" s="1"/>
  <c r="S11" i="9"/>
  <c r="T11" i="9" s="1"/>
  <c r="S5" i="9"/>
  <c r="T5" i="9" s="1"/>
  <c r="S10" i="9"/>
  <c r="U12" i="9" s="1"/>
  <c r="S6" i="9"/>
  <c r="T6" i="9" s="1"/>
  <c r="S8" i="9"/>
  <c r="T8" i="9" s="1"/>
  <c r="S7" i="9"/>
  <c r="T7" i="9" s="1"/>
  <c r="U13" i="9"/>
  <c r="N13" i="9" s="1"/>
  <c r="M15" i="2" s="1"/>
  <c r="U4" i="9"/>
  <c r="N4" i="9" s="1"/>
  <c r="M6" i="2" s="1"/>
  <c r="N12" i="9"/>
  <c r="M14" i="2" s="1"/>
  <c r="U7" i="9" l="1"/>
  <c r="N7" i="9" s="1"/>
  <c r="M9" i="2" s="1"/>
  <c r="T10" i="9"/>
  <c r="U10" i="9" s="1"/>
  <c r="N10" i="9" s="1"/>
  <c r="M12" i="2" s="1"/>
  <c r="U6" i="9"/>
  <c r="N6" i="9" s="1"/>
  <c r="M8" i="2" s="1"/>
  <c r="U5" i="9"/>
  <c r="N5" i="9" s="1"/>
  <c r="M7" i="2" s="1"/>
  <c r="U8" i="9"/>
  <c r="N8" i="9" s="1"/>
  <c r="M10" i="2" s="1"/>
  <c r="U11" i="9"/>
  <c r="N11" i="9" s="1"/>
  <c r="M13" i="2" s="1"/>
  <c r="U9" i="9"/>
  <c r="N9" i="9" s="1"/>
  <c r="M1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tc={FFA05635-2AFC-484F-8045-5E3530889F77}</author>
  </authors>
  <commentList>
    <comment ref="U2" authorId="0" shapeId="0" xr:uid="{FFA05635-2AFC-484F-8045-5E3530889F77}">
      <text>
        <t>[Threaded comment]
Your version of Excel allows you to read this threaded comment; however, any edits to it will get removed if the file is opened in a newer version of Excel. Learn more: https://go.microsoft.com/fwlink/?linkid=870924
Comment:
    Highest Child Sum Cover &amp; Youngest Age in a policy (if more than 1)</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<sst xmlns="http://schemas.openxmlformats.org/spreadsheetml/2006/main" count="483" uniqueCount="317">
  <si>
    <t>MEMBERS</t>
  </si>
  <si>
    <t>PREVIOUS INSURANCE</t>
  </si>
  <si>
    <t>PHYSICAL ADDRESS</t>
  </si>
  <si>
    <t>POSTAL ADDRESS</t>
  </si>
  <si>
    <t>COMMUNICATION</t>
  </si>
  <si>
    <t>POLICY OPTIONS</t>
  </si>
  <si>
    <t>EMPLOYEE DETAILS</t>
  </si>
  <si>
    <t>BANKING DETAILS</t>
  </si>
  <si>
    <t>Sales Allocation</t>
  </si>
  <si>
    <t>Member Type</t>
  </si>
  <si>
    <t>First Name</t>
  </si>
  <si>
    <t>Surname</t>
  </si>
  <si>
    <t>Main Member Link ID</t>
  </si>
  <si>
    <t>ID Number</t>
  </si>
  <si>
    <t>Passport Number</t>
  </si>
  <si>
    <t>Date Of Birth</t>
  </si>
  <si>
    <t>Gender</t>
  </si>
  <si>
    <t>Benefit Name</t>
  </si>
  <si>
    <t>Commencement Date</t>
  </si>
  <si>
    <t>Affordability Status</t>
  </si>
  <si>
    <t>Premium</t>
  </si>
  <si>
    <t>Cover Amount</t>
  </si>
  <si>
    <t xml:space="preserve">Previous Insurer </t>
  </si>
  <si>
    <t>Previous Insurer Policy Number</t>
  </si>
  <si>
    <t>Previous Insurer Join Date</t>
  </si>
  <si>
    <t>Previous Insurer Cancellation Date</t>
  </si>
  <si>
    <t>Previous Cover Amount</t>
  </si>
  <si>
    <t xml:space="preserve">Address 1 </t>
  </si>
  <si>
    <t>Address 2</t>
  </si>
  <si>
    <t>City</t>
  </si>
  <si>
    <t>Province</t>
  </si>
  <si>
    <t>Country</t>
  </si>
  <si>
    <t>Area Code</t>
  </si>
  <si>
    <t>Postal Address 1</t>
  </si>
  <si>
    <t>Postal Address 2</t>
  </si>
  <si>
    <t>Postal City</t>
  </si>
  <si>
    <t>Postal Province</t>
  </si>
  <si>
    <t>Postal Country</t>
  </si>
  <si>
    <t>Postal Code</t>
  </si>
  <si>
    <t>Telephone</t>
  </si>
  <si>
    <t>Mobile</t>
  </si>
  <si>
    <t>Email</t>
  </si>
  <si>
    <t>Preferred Method Of Communication</t>
  </si>
  <si>
    <t>Product Option</t>
  </si>
  <si>
    <t>Annual Increase Option</t>
  </si>
  <si>
    <t>Increase Month</t>
  </si>
  <si>
    <t>Employer / Payroll Code</t>
  </si>
  <si>
    <t>Employer</t>
  </si>
  <si>
    <t>PERSAL Number</t>
  </si>
  <si>
    <t>Department</t>
  </si>
  <si>
    <t>Payment Method</t>
  </si>
  <si>
    <t>Bank</t>
  </si>
  <si>
    <t>Branch Code</t>
  </si>
  <si>
    <t>Account#</t>
  </si>
  <si>
    <t>Account Type</t>
  </si>
  <si>
    <t>Debit Order Day</t>
  </si>
  <si>
    <t>Representative ID</t>
  </si>
  <si>
    <t>Main Member</t>
  </si>
  <si>
    <t>Female</t>
  </si>
  <si>
    <t>Consolidated Funeral - Main</t>
  </si>
  <si>
    <t>Affordable</t>
  </si>
  <si>
    <t>Consolidated Funeral Plus</t>
  </si>
  <si>
    <t>Option 2</t>
  </si>
  <si>
    <t>September</t>
  </si>
  <si>
    <t>Corporate Stop Order</t>
  </si>
  <si>
    <t>CAPITEC</t>
  </si>
  <si>
    <t>Savings Account</t>
  </si>
  <si>
    <t>Spouse</t>
  </si>
  <si>
    <t>Male</t>
  </si>
  <si>
    <t xml:space="preserve">Consolidated Funeral - Spouse </t>
  </si>
  <si>
    <t>Child</t>
  </si>
  <si>
    <t>Consolidated Funeral - Child</t>
  </si>
  <si>
    <t>Parent</t>
  </si>
  <si>
    <t>Consolidated Funeral - Parents</t>
  </si>
  <si>
    <t>Extended</t>
  </si>
  <si>
    <t>Consolidated Funeral - Extended</t>
  </si>
  <si>
    <t>Beneficiary</t>
  </si>
  <si>
    <t>MAIN MEMBER</t>
  </si>
  <si>
    <t>SUM ASSURED</t>
  </si>
  <si>
    <t>INDEX</t>
  </si>
  <si>
    <t>AGE FROM</t>
  </si>
  <si>
    <t>AGE TO</t>
  </si>
  <si>
    <t>FIXED AMT</t>
  </si>
  <si>
    <t>RATE PER R10000</t>
  </si>
  <si>
    <t>SPOUSE</t>
  </si>
  <si>
    <t>EXTENDED FAMILY</t>
  </si>
  <si>
    <t>PARENTS</t>
  </si>
  <si>
    <t>CHILD</t>
  </si>
  <si>
    <t>FIXED EXP</t>
  </si>
  <si>
    <t>Roles</t>
  </si>
  <si>
    <t>Benefits</t>
  </si>
  <si>
    <t>Communication</t>
  </si>
  <si>
    <t>Binary Choice</t>
  </si>
  <si>
    <t>Month</t>
  </si>
  <si>
    <t>Banks</t>
  </si>
  <si>
    <t>Previous Insurer</t>
  </si>
  <si>
    <t>Affordability</t>
  </si>
  <si>
    <t>No increase</t>
  </si>
  <si>
    <t>Yes</t>
  </si>
  <si>
    <t>January</t>
  </si>
  <si>
    <t>ABSA</t>
  </si>
  <si>
    <t>Cheque Account</t>
  </si>
  <si>
    <t>African Unity Life</t>
  </si>
  <si>
    <t>Consolidated Funeral Basic</t>
  </si>
  <si>
    <t>SMS</t>
  </si>
  <si>
    <t>Option 1</t>
  </si>
  <si>
    <t>No</t>
  </si>
  <si>
    <t>February</t>
  </si>
  <si>
    <t>AFRICAN BANK</t>
  </si>
  <si>
    <t>Credit Card Account</t>
  </si>
  <si>
    <t>Alexander Forbes</t>
  </si>
  <si>
    <t>Not Affordable</t>
  </si>
  <si>
    <t>Debit Order</t>
  </si>
  <si>
    <t>Post</t>
  </si>
  <si>
    <t>March</t>
  </si>
  <si>
    <t>BIDVEST BANK</t>
  </si>
  <si>
    <t>Current Account</t>
  </si>
  <si>
    <t>Assupol</t>
  </si>
  <si>
    <t>Government Salary Deduction</t>
  </si>
  <si>
    <t>April</t>
  </si>
  <si>
    <t>Brightrock Life Limited</t>
  </si>
  <si>
    <t>May</t>
  </si>
  <si>
    <t>DISCOVERY BANK LTD</t>
  </si>
  <si>
    <t>Transmission Account</t>
  </si>
  <si>
    <t>Centriq Life Insurance</t>
  </si>
  <si>
    <t>June</t>
  </si>
  <si>
    <t>FNB</t>
  </si>
  <si>
    <t>Clientele</t>
  </si>
  <si>
    <t>July</t>
  </si>
  <si>
    <t>ITHALA BANK</t>
  </si>
  <si>
    <t>Dignity Group</t>
  </si>
  <si>
    <t>August</t>
  </si>
  <si>
    <t>NEDBANK</t>
  </si>
  <si>
    <t>Ditiro Group Funeral Administrator</t>
  </si>
  <si>
    <t>OLD MUTUAL BANK</t>
  </si>
  <si>
    <t>Hollard Life</t>
  </si>
  <si>
    <t>October</t>
  </si>
  <si>
    <t>POST BANK</t>
  </si>
  <si>
    <t>KGA Life</t>
  </si>
  <si>
    <t>November</t>
  </si>
  <si>
    <t>STANDARD BANK</t>
  </si>
  <si>
    <t>Liberty</t>
  </si>
  <si>
    <t>December</t>
  </si>
  <si>
    <t>TYMEBANK</t>
  </si>
  <si>
    <t>Merritt Administrators</t>
  </si>
  <si>
    <t>UBANK</t>
  </si>
  <si>
    <t>Metropolitan</t>
  </si>
  <si>
    <t>VBS MUTUAL BANK</t>
  </si>
  <si>
    <t>Old Mutual</t>
  </si>
  <si>
    <t>Old Mutual Life Assurance Company</t>
  </si>
  <si>
    <t>Prosper Funeral Solutions</t>
  </si>
  <si>
    <t>Safrican Insurance Company</t>
  </si>
  <si>
    <t>Sanlam</t>
  </si>
  <si>
    <t>Santam</t>
  </si>
  <si>
    <t>Policy Number</t>
  </si>
  <si>
    <t>CFP_v2</t>
  </si>
  <si>
    <t>Version No</t>
  </si>
  <si>
    <t>Version Date</t>
  </si>
  <si>
    <t>Quick Guide to completing the Consolidated Funeral Product</t>
  </si>
  <si>
    <t>To be completed for existing policies only (optional)</t>
  </si>
  <si>
    <t>(select Role from list)</t>
  </si>
  <si>
    <t>(key in Member's Name)</t>
  </si>
  <si>
    <t>(key in Main Member's ID / Passport No. for all selected Roles)</t>
  </si>
  <si>
    <t>(key in DOB in this format yyyy-mm-dd)</t>
  </si>
  <si>
    <t>(key in Member's ID / Passport No.)</t>
  </si>
  <si>
    <t>(select Gender from list)</t>
  </si>
  <si>
    <t>(key in Cover Start Date in this format yyyy-mm-dd)</t>
  </si>
  <si>
    <t>(select company name from list)</t>
  </si>
  <si>
    <t>(key in date in this format yyyy-mm-dd)</t>
  </si>
  <si>
    <t>(key in details)</t>
  </si>
  <si>
    <t>(key in Str No. &amp; Name)</t>
  </si>
  <si>
    <t>(key in Suburb)</t>
  </si>
  <si>
    <t>(key in Area Code)</t>
  </si>
  <si>
    <t>(key in P.O. Box or Private Bag)</t>
  </si>
  <si>
    <t>(key in Postal Code)</t>
  </si>
  <si>
    <t>(select comm method from list)</t>
  </si>
  <si>
    <t>(select type of VAS from list)</t>
  </si>
  <si>
    <t>(select Annual Increase Option from list)</t>
  </si>
  <si>
    <t>(select from list)</t>
  </si>
  <si>
    <t>Increase Option</t>
  </si>
  <si>
    <t>Validity</t>
  </si>
  <si>
    <t>Quick Guide to completing the Consolidated Funeral Product (CFP)</t>
  </si>
  <si>
    <t>(refer to column AY to know the max cover allowable)</t>
  </si>
  <si>
    <t>Age</t>
  </si>
  <si>
    <t>Fixed Rate</t>
  </si>
  <si>
    <t>Max Sum Cover</t>
  </si>
  <si>
    <t>As a % of MM Sum Cover</t>
  </si>
  <si>
    <t>RATE PER R10,000</t>
  </si>
  <si>
    <t>Rate per 10,000</t>
  </si>
  <si>
    <t>As a Max Amount</t>
  </si>
  <si>
    <t>Premium Rates</t>
  </si>
  <si>
    <r>
      <t xml:space="preserve">1. Kindly ensure that you do not skip a row.
2. Policy Number is optional, only add it if you want to update a specific policy.
3. Always start with the Main Member followed by --&gt; Spouse --&gt; Child --&gt; Parent --&gt; Extended --&gt; Beneficiary.
4. Indicate the client type (Member Type) by choosing from the list in column (B).
5. For insured lives other than the Main Member under a policy, always specify the </t>
    </r>
    <r>
      <rPr>
        <b/>
        <sz val="11"/>
        <color rgb="FF0000FF"/>
        <rFont val="Calibri"/>
        <family val="2"/>
        <scheme val="minor"/>
      </rPr>
      <t>Main Member Link ID</t>
    </r>
    <r>
      <rPr>
        <sz val="11"/>
        <color rgb="FF0000FF"/>
        <rFont val="Calibri"/>
        <family val="2"/>
        <scheme val="minor"/>
      </rPr>
      <t xml:space="preserve"> (ID or Passport Number) in column (E).
6. Always add a member ID Number in column (F) or Passport Number in column (G).
7. Always capture a Date of Birth in column (H).
8. Benefit Name in column (J) will populate automatically based on the Member Type.
9. Indicate a Preferred Method of Communication by choosing from the list in column (AI).
10. Always add a Beneficiary for every Main Member.
11. Maximum number of lives per Member Type:
a) Main Member - 1 life
b) Spouse - 1 life
c) Child - 6 lives (from the 7th child onwards please add them as part of the Extended member type)
d) Parent - 4 lives
e) Extended - 10 lives
f) Beneficiaries - 6 lives
12. For Child &amp; Extended member types, start by keying in the details of the child/member with the highest sum ccover, followed by details of the next child/member with the next highest sum cover i.e. in descending order.
13. Column AY indicates the applicable max sum cover for each member under a policy. Key in the required sum cover amount ensuring it is less than or equal to this max limit. This column also indicates if there are any errors in the details captured and will advise the type of revision that is needed. </t>
    </r>
  </si>
  <si>
    <t>The Lower of
% of MM Sum Cover OR Max Amount</t>
  </si>
  <si>
    <t>Important Quoting Notes</t>
  </si>
  <si>
    <t>Insert date in this format: DD/MM/YYYY</t>
  </si>
  <si>
    <t>Cover Type</t>
  </si>
  <si>
    <t>Maximum Cover Amount</t>
  </si>
  <si>
    <t>Funeral Cover (per life)</t>
  </si>
  <si>
    <t>Parent and Extended 
(of Age Next Birthday greater than 21 years old)</t>
  </si>
  <si>
    <t>Stillborn Child</t>
  </si>
  <si>
    <t>How to Use this Tool</t>
  </si>
  <si>
    <t>Clear out any values in this cell before starting a quote</t>
  </si>
  <si>
    <t>Select from Drop Down List</t>
  </si>
  <si>
    <t>Commencement date</t>
  </si>
  <si>
    <t>None</t>
  </si>
  <si>
    <t>Annual increase option</t>
  </si>
  <si>
    <t>VAS benefit selected</t>
  </si>
  <si>
    <t>Date of Birth</t>
  </si>
  <si>
    <t>Age Next Birthday (ANB)</t>
  </si>
  <si>
    <t xml:space="preserve">Fixed rate </t>
  </si>
  <si>
    <t>Quoted Premium Amount</t>
  </si>
  <si>
    <t>FUNERAL COVER (Parents)</t>
  </si>
  <si>
    <t>ANB - Parents</t>
  </si>
  <si>
    <t>Parent 1</t>
  </si>
  <si>
    <t>Not applicable</t>
  </si>
  <si>
    <t>Parent 2</t>
  </si>
  <si>
    <t>Parent 3</t>
  </si>
  <si>
    <t>Parent 4</t>
  </si>
  <si>
    <t>ANB - Extended family</t>
  </si>
  <si>
    <t>Extended family member 1</t>
  </si>
  <si>
    <t>Extended family member 2</t>
  </si>
  <si>
    <t>Extended family member 3</t>
  </si>
  <si>
    <t>Extended family member 4</t>
  </si>
  <si>
    <t>Extended family member 5</t>
  </si>
  <si>
    <t>Extended family member 6</t>
  </si>
  <si>
    <t>Extended family member 7</t>
  </si>
  <si>
    <t>Extended family member 8</t>
  </si>
  <si>
    <t>Extended family member 9</t>
  </si>
  <si>
    <t>Extended family member 10</t>
  </si>
  <si>
    <t>Consolidated Funeral Product (CFP_v2) Quotation Tool</t>
  </si>
  <si>
    <t>Child and Extended
(of Age Next Birthday between 1 and 5 years old)</t>
  </si>
  <si>
    <t>Child and Extended
(of Age Next Birthday between 6 and 13 years old)</t>
  </si>
  <si>
    <t>R150,000 or Main Member funeral cover amount,
whichever is lower</t>
  </si>
  <si>
    <t>R50,000 or Main Member funeral cover amount,
whichever is lower</t>
  </si>
  <si>
    <t>R20,000 or Main Member funeral cover amount,
whichever is lower</t>
  </si>
  <si>
    <t>Child
(of Age Next Birthday between 14 and 21 years old)</t>
  </si>
  <si>
    <t>R75,000 or Main Member funeral cover amount,
whichever is lower</t>
  </si>
  <si>
    <t>Extended
(of Age Next Birthday between 14 and 21 years old)</t>
  </si>
  <si>
    <t>The funeral cover amount for Spouse, Child, Extended or Parent cannot exceed the funeral cover amount of the Main Member</t>
  </si>
  <si>
    <t>Age is derived as Age Next Birthday calculated based on the Commencement Date and Date of Birth of the member.</t>
  </si>
  <si>
    <t>5% premium increase with 4% benefit increase</t>
  </si>
  <si>
    <t>10% premium increase with 8% benefits increase</t>
  </si>
  <si>
    <t>FUNERAL COVER (Child)</t>
  </si>
  <si>
    <t>Child 1</t>
  </si>
  <si>
    <t>Child 2</t>
  </si>
  <si>
    <t>Child 3</t>
  </si>
  <si>
    <t>Child 4</t>
  </si>
  <si>
    <t>Child 5</t>
  </si>
  <si>
    <t>Child 6</t>
  </si>
  <si>
    <t>Rate per R10,000</t>
  </si>
  <si>
    <t>ANB - Child</t>
  </si>
  <si>
    <t>FUNERAL COVER (Extended)</t>
  </si>
  <si>
    <t>Max Cover Amount</t>
  </si>
  <si>
    <t>Final output cell &lt;Do not Edit&gt;</t>
  </si>
  <si>
    <t>Indicative cell &lt;Do not Edit&gt;</t>
  </si>
  <si>
    <t>Input cell</t>
  </si>
  <si>
    <t>Premium calculation cell &lt;Do not Edit&gt;</t>
  </si>
  <si>
    <t>1. CFP is available to the Main Member, Spouse, Child, Parent and Extended family members.
2. Funeral cover (for all Member Type) should not exceed the Main Member's Funeral cover amount, up to a maximum of: 
a) R150,000 per life (for Main Member and Spouse);
b) R75,000 per life (for Parent and Extended where Age Next Birthday is greater than 21 years old);
c) 100% of Main Member's funeral cover amount up to a max of R150,000 per life (for Child) or R75,000 per life (for Extended)  where Age Next Birthday between 14 and 21 years old;
d) 100% of Main Member's funeral cover amount up to a max of R50,000 per life (for Child and Extended) where Age Next Birthday between 6 and 13 years old;
e) 100% of Main Member's funeral cover amount up to a max of R20,000 per life (for Child and Extended) where Age Next Birthday between 1 and 5 years old;
f) R3,000 per stillborn subject to a maximum of 3 stillborns per policy - this is an automatic feature on the Main Member's cover and does not require a selection in here.
3. There is no underwriting for this product.
4. Age is derived as Age Next Birthday calculated based on the Commencement Date and Date of Birth of the member.
5. The premium for Main Member, Spouse, Parent and Extended members are calculated based on the age of the individual member. Premium for Child is a fixed rate and is calculated once for up to 6 lives.
6. VAPs are the value-added services (i.e. body repatriation, grocery, airtime, wills and tax benefits) that are compulsory (with further options) for this product at an additional fee. This is included in the Total Premium amount of the Main Member.
7. Annual increase is optional. A selection of:
Option 1 --&gt; 5% premium increase with 4% benefit increase; OR
Option 2 --&gt; 10% premium increase with 8% benefits increase are offered under this product.
The selected annual increment % is applied at the policy anniversary on the premium and cover amount of all members under a policy.</t>
  </si>
  <si>
    <t>VAS Premium</t>
  </si>
  <si>
    <t>E&amp;OE</t>
  </si>
  <si>
    <t>CFP_v2_Quotation</t>
  </si>
  <si>
    <t xml:space="preserve">Total Premium (excl. VAS) </t>
  </si>
  <si>
    <t>Compulsory benefits only (Basic plan)</t>
  </si>
  <si>
    <t>FUNERAL COVER
(Main Member &amp; Spouse)</t>
  </si>
  <si>
    <t>VAS Amount (EuropAssist)</t>
  </si>
  <si>
    <t>The premium for Main Member, Spouse, Parent and Extended members are calculated based on the age of the individual member.</t>
  </si>
  <si>
    <t>Premium for Child is a fixed rate and is calculated once for up to 6 lives.</t>
  </si>
  <si>
    <t>R3,000 per stillborn subject to a maximum of 3 stillborns per policy
(automatic benefit feature)</t>
  </si>
  <si>
    <t>Is Child Sum Cover Highest?</t>
  </si>
  <si>
    <t>Indicative Max Sum Cover for each Member Type</t>
  </si>
  <si>
    <t>Count of Member Type</t>
  </si>
  <si>
    <t>Error Message to Show</t>
  </si>
  <si>
    <t>Each Child Premium</t>
  </si>
  <si>
    <t>Premium to Show</t>
  </si>
  <si>
    <t>No. of Child with same Cover Amont under a policy</t>
  </si>
  <si>
    <t>Allocation of Child Premium</t>
  </si>
  <si>
    <r>
      <t xml:space="preserve">(Benefit Name will be populated automatically based on the Member Type)
</t>
    </r>
    <r>
      <rPr>
        <b/>
        <sz val="8"/>
        <color theme="1"/>
        <rFont val="Calibri"/>
        <family val="2"/>
        <scheme val="minor"/>
      </rPr>
      <t>-DO NOT EDIT-</t>
    </r>
  </si>
  <si>
    <r>
      <t xml:space="preserve">(premium is populated automatically)
</t>
    </r>
    <r>
      <rPr>
        <b/>
        <sz val="8"/>
        <rFont val="Calibri"/>
        <family val="2"/>
        <scheme val="minor"/>
      </rPr>
      <t>-DO NOT EDIT-</t>
    </r>
  </si>
  <si>
    <t>(can the client afford the quoted premium amount?)</t>
  </si>
  <si>
    <r>
      <t xml:space="preserve">(auto populated based on the month in the commencement date)
</t>
    </r>
    <r>
      <rPr>
        <b/>
        <sz val="8"/>
        <color theme="1"/>
        <rFont val="Calibri"/>
        <family val="2"/>
        <scheme val="minor"/>
      </rPr>
      <t>-DO NOT EDIT-</t>
    </r>
  </si>
  <si>
    <r>
      <t xml:space="preserve">(shows the max cover amount allowed for each member type, based on the main member's details, product validations and regulatory requirements such as child benefit limitations)
</t>
    </r>
    <r>
      <rPr>
        <b/>
        <sz val="8"/>
        <rFont val="Calibri"/>
        <family val="2"/>
        <scheme val="minor"/>
      </rPr>
      <t>- DO NOT EDIT-</t>
    </r>
  </si>
  <si>
    <t>Indicative maximum Cover Amount and other validations</t>
  </si>
  <si>
    <t>Additional Optional benefits</t>
  </si>
  <si>
    <t>Plus plan includes both compulsory and optional benefits.
VAS amount for this chosen plan will be a total of R 9.13</t>
  </si>
  <si>
    <t>IT</t>
  </si>
  <si>
    <t xml:space="preserve">	14-06-1995</t>
  </si>
  <si>
    <t xml:space="preserve">	01-01-2013</t>
  </si>
  <si>
    <t xml:space="preserve">	21-01-1988</t>
  </si>
  <si>
    <t xml:space="preserve">	01-01-2012</t>
  </si>
  <si>
    <t>9305200335085</t>
  </si>
  <si>
    <t>Reply</t>
  </si>
  <si>
    <t>Degal</t>
  </si>
  <si>
    <t>Hope</t>
  </si>
  <si>
    <t>Mae</t>
  </si>
  <si>
    <t>BMA</t>
  </si>
  <si>
    <t>Monroe</t>
  </si>
  <si>
    <t>Aviwe</t>
  </si>
  <si>
    <t>Qongqo</t>
  </si>
  <si>
    <t>Zwavhudi</t>
  </si>
  <si>
    <t>Manu</t>
  </si>
  <si>
    <t>Thidiala</t>
  </si>
  <si>
    <t>56 Jorissen Street</t>
  </si>
  <si>
    <t>Braamfontein</t>
  </si>
  <si>
    <t>Johannesburg</t>
  </si>
  <si>
    <t>Gauteng</t>
  </si>
  <si>
    <t>South Africa</t>
  </si>
  <si>
    <t>0107843621</t>
  </si>
  <si>
    <t>0754831572</t>
  </si>
  <si>
    <t>amuhali@randmutual.co.za</t>
  </si>
  <si>
    <t xml:space="preserve">	
62398644453</t>
  </si>
  <si>
    <t>9403175256087</t>
  </si>
  <si>
    <t>9403175091187</t>
  </si>
  <si>
    <t>9403176322086</t>
  </si>
  <si>
    <t>9403178802085</t>
  </si>
  <si>
    <t>9403175901187</t>
  </si>
  <si>
    <t>9403175519187</t>
  </si>
  <si>
    <t>9403177609184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</si>
</sst>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quot;R&quot;* #,##0_-;\-&quot;R&quot;* #,##0_-;_-&quot;R&quot;* &quot;-&quot;_-;_-@_-"/>
    <numFmt numFmtId="44" formatCode="_-&quot;R&quot;* #,##0.00_-;\-&quot;R&quot;* #,##0.00_-;_-&quot;R&quot;* &quot;-&quot;??_-;_-@_-"/>
    <numFmt numFmtId="164" formatCode="_(* #,##0.00_);_(* \(#,##0.00\);_(* &quot;-&quot;??_);_(@_)"/>
    <numFmt numFmtId="165" formatCode="0.00000"/>
    <numFmt numFmtId="166" formatCode="_(* #,##0.00000_);_(* \(#,##0.00000\);_(* &quot;-&quot;??_);_(@_)"/>
    <numFmt numFmtId="167" formatCode="yyyy\-mm\-dd"/>
    <numFmt numFmtId="168" formatCode="0.0000"/>
    <numFmt numFmtId="169" formatCode="&quot;R&quot;#,##0_);[Red]\(&quot;R&quot;#,##0\)"/>
    <numFmt numFmtId="170" formatCode="dd\/mm\/yyyy"/>
    <numFmt numFmtId="171" formatCode="_(&quot;R&quot;* #,##0_);_(&quot;R&quot;* \(#,##0\);_(&quot;R&quot;* &quot;-&quot;_);_(@_)"/>
    <numFmt numFmtId="172" formatCode="_(&quot;R&quot;* #,##0.00_);_(&quot;R&quot;* \(#,##0.00\);_(&quot;R&quot;* &quot;-&quot;??_);_(@_)"/>
    <numFmt numFmtId="173" formatCode="0.000000"/>
    <numFmt numFmtId="174" formatCode="&quot;R&quot;#,##0.00"/>
  </numFmts>
  <fonts count="46" x14ac:knownFonts="1">
    <font>
      <sz val="11"/>
      <color theme="1"/>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name val="Calibri"/>
      <family val="2"/>
      <scheme val="minor"/>
    </font>
    <font>
      <b/>
      <sz val="11"/>
      <color theme="0"/>
      <name val="Calibri"/>
      <family val="2"/>
      <scheme val="minor"/>
    </font>
    <font>
      <b/>
      <u/>
      <sz val="15"/>
      <color rgb="FF0000FF"/>
      <name val="Calibri"/>
      <family val="2"/>
      <scheme val="minor"/>
    </font>
    <font>
      <sz val="11"/>
      <color rgb="FF0000FF"/>
      <name val="Calibri"/>
      <family val="2"/>
      <scheme val="minor"/>
    </font>
    <font>
      <b/>
      <sz val="13"/>
      <color theme="0"/>
      <name val="Calibri"/>
      <family val="2"/>
      <scheme val="minor"/>
    </font>
    <font>
      <b/>
      <sz val="16"/>
      <color theme="0"/>
      <name val="Calibri"/>
      <family val="2"/>
      <scheme val="minor"/>
    </font>
    <font>
      <b/>
      <sz val="10"/>
      <color theme="0"/>
      <name val="Calibri"/>
      <family val="2"/>
      <scheme val="minor"/>
    </font>
    <font>
      <b/>
      <sz val="14"/>
      <color theme="1"/>
      <name val="Calibri"/>
      <family val="2"/>
      <scheme val="minor"/>
    </font>
    <font>
      <sz val="8"/>
      <color theme="1"/>
      <name val="Calibri"/>
      <family val="2"/>
      <scheme val="minor"/>
    </font>
    <font>
      <u/>
      <sz val="11"/>
      <color theme="10"/>
      <name val="Calibri"/>
      <family val="2"/>
      <scheme val="minor"/>
    </font>
    <font>
      <b/>
      <sz val="11"/>
      <color rgb="FF0000FF"/>
      <name val="Calibri"/>
      <family val="2"/>
      <scheme val="minor"/>
    </font>
    <font>
      <sz val="10"/>
      <color rgb="FF0000FF"/>
      <name val="Calibri"/>
      <family val="2"/>
      <scheme val="minor"/>
    </font>
    <font>
      <b/>
      <u/>
      <sz val="20"/>
      <color theme="1"/>
      <name val="Calibri"/>
      <family val="2"/>
      <scheme val="minor"/>
    </font>
    <font>
      <sz val="11"/>
      <color rgb="FF3F3F76"/>
      <name val="Calibri"/>
      <family val="2"/>
      <scheme val="minor"/>
    </font>
    <font>
      <sz val="10"/>
      <color theme="1"/>
      <name val="Arial"/>
      <family val="2"/>
    </font>
    <font>
      <b/>
      <sz val="20"/>
      <color theme="0"/>
      <name val="Arial"/>
      <family val="2"/>
    </font>
    <font>
      <b/>
      <sz val="12"/>
      <color theme="1"/>
      <name val="Arial"/>
      <family val="2"/>
    </font>
    <font>
      <sz val="10"/>
      <color rgb="FF0000FF"/>
      <name val="Arial"/>
      <family val="2"/>
    </font>
    <font>
      <b/>
      <sz val="10"/>
      <color theme="1"/>
      <name val="Arial"/>
      <family val="2"/>
    </font>
    <font>
      <sz val="10"/>
      <color rgb="FFFF0000"/>
      <name val="Arial"/>
      <family val="2"/>
    </font>
    <font>
      <i/>
      <sz val="10"/>
      <color theme="1"/>
      <name val="Arial"/>
      <family val="2"/>
    </font>
    <font>
      <b/>
      <sz val="10"/>
      <color rgb="FFFF0000"/>
      <name val="Arial"/>
      <family val="2"/>
    </font>
    <font>
      <b/>
      <sz val="15"/>
      <color theme="0"/>
      <name val="Arial"/>
      <family val="2"/>
    </font>
    <font>
      <b/>
      <sz val="12"/>
      <color rgb="FF0000FF"/>
      <name val="Arial"/>
      <family val="2"/>
    </font>
    <font>
      <b/>
      <sz val="15"/>
      <color rgb="FF0000FF"/>
      <name val="Arial"/>
      <family val="2"/>
    </font>
    <font>
      <sz val="11"/>
      <color theme="1"/>
      <name val="Arial"/>
      <family val="2"/>
    </font>
    <font>
      <i/>
      <sz val="11"/>
      <color theme="1"/>
      <name val="Arial"/>
      <family val="2"/>
    </font>
    <font>
      <b/>
      <sz val="11"/>
      <color theme="1"/>
      <name val="Arial"/>
      <family val="2"/>
    </font>
    <font>
      <sz val="11"/>
      <color rgb="FFFF0000"/>
      <name val="Arial"/>
      <family val="2"/>
    </font>
    <font>
      <sz val="11"/>
      <color rgb="FF0000FF"/>
      <name val="Arial"/>
      <family val="2"/>
    </font>
    <font>
      <sz val="11"/>
      <color rgb="FF3F3F76"/>
      <name val="Arial"/>
      <family val="2"/>
    </font>
    <font>
      <b/>
      <sz val="11"/>
      <color rgb="FF0000FF"/>
      <name val="Arial"/>
      <family val="2"/>
    </font>
    <font>
      <i/>
      <sz val="11"/>
      <name val="Arial"/>
      <family val="2"/>
    </font>
    <font>
      <i/>
      <sz val="11"/>
      <color rgb="FFFF0000"/>
      <name val="Arial"/>
      <family val="2"/>
    </font>
    <font>
      <b/>
      <sz val="8"/>
      <color theme="1"/>
      <name val="Calibri"/>
      <family val="2"/>
      <scheme val="minor"/>
    </font>
    <font>
      <b/>
      <sz val="8"/>
      <name val="Calibri"/>
      <family val="2"/>
      <scheme val="minor"/>
    </font>
    <font>
      <sz val="11"/>
      <color rgb="FF000000"/>
      <name val="Calibri"/>
      <family val="2"/>
      <scheme val="minor"/>
    </font>
    <font>
      <sz val="6"/>
      <color theme="1"/>
      <name val="Arial"/>
      <family val="2"/>
    </font>
    <font>
      <sz val="7"/>
      <color rgb="FF3F3F3F"/>
      <name val="Arial"/>
      <family val="2"/>
    </font>
    <font>
      <sz val="9"/>
      <color rgb="FF3F3F3F"/>
      <name val="Arial"/>
      <family val="2"/>
    </font>
  </fonts>
  <fills count="1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5" tint="-0.249977111117893"/>
        <bgColor rgb="FFB0C4DE"/>
      </patternFill>
    </fill>
    <fill>
      <patternFill patternType="solid">
        <fgColor theme="5" tint="0.79998168889431442"/>
        <bgColor indexed="64"/>
      </patternFill>
    </fill>
    <fill>
      <patternFill patternType="solid">
        <fgColor theme="5" tint="-0.499984740745262"/>
        <bgColor indexed="64"/>
      </patternFill>
    </fill>
    <fill>
      <patternFill patternType="solid">
        <fgColor rgb="FFFFCC99"/>
      </patternFill>
    </fill>
    <fill>
      <patternFill patternType="solid">
        <fgColor rgb="FFFFFF99"/>
        <bgColor indexed="64"/>
      </patternFill>
    </fill>
    <fill>
      <patternFill patternType="solid">
        <fgColor theme="0" tint="-0.14999847407452621"/>
        <bgColor indexed="64"/>
      </patternFill>
    </fill>
    <fill>
      <patternFill patternType="solid">
        <fgColor rgb="FFFFCCFF"/>
        <bgColor indexed="64"/>
      </patternFill>
    </fill>
    <fill>
      <patternFill patternType="solid">
        <fgColor theme="5"/>
        <bgColor indexed="64"/>
      </patternFill>
    </fill>
    <fill>
      <patternFill patternType="solid">
        <fgColor theme="5"/>
        <bgColor rgb="FFB0C4DE"/>
      </patternFill>
    </fill>
    <fill>
      <patternFill patternType="solid">
        <fgColor rgb="FFFFFF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164" fontId="5" fillId="0" borderId="0" applyFont="0" applyFill="0" applyBorder="0" applyAlignment="0" applyProtection="0"/>
    <xf numFmtId="164" fontId="5" fillId="0" borderId="0" applyFont="0" applyFill="0" applyBorder="0" applyAlignment="0" applyProtection="0"/>
    <xf numFmtId="0" fontId="15" fillId="0" borderId="0" applyNumberFormat="0" applyFill="0" applyBorder="0" applyAlignment="0" applyProtection="0"/>
    <xf numFmtId="9" fontId="5" fillId="0" borderId="0" applyFont="0" applyFill="0" applyBorder="0" applyAlignment="0" applyProtection="0"/>
    <xf numFmtId="0" fontId="19" fillId="10" borderId="23" applyNumberFormat="0" applyAlignment="0" applyProtection="0"/>
  </cellStyleXfs>
  <cellXfs count="286">
    <xf numFmtId="0" fontId="0" fillId="0" borderId="0" xfId="0"/>
    <xf numFmtId="0" fontId="0" fillId="2" borderId="5" xfId="0" applyFill="1" applyBorder="1" applyAlignment="1">
      <alignment horizontal="left" vertical="center"/>
    </xf>
    <xf numFmtId="0" fontId="0" fillId="2" borderId="1" xfId="0" applyFill="1" applyBorder="1" applyAlignment="1">
      <alignment horizontal="left" vertical="center"/>
    </xf>
    <xf numFmtId="0" fontId="0" fillId="2" borderId="6" xfId="0" applyFill="1" applyBorder="1" applyAlignment="1">
      <alignment horizontal="center" vertical="center" wrapText="1"/>
    </xf>
    <xf numFmtId="0" fontId="0" fillId="2" borderId="2" xfId="0" applyFill="1" applyBorder="1" applyAlignment="1">
      <alignment horizontal="center" vertical="center" wrapText="1"/>
    </xf>
    <xf numFmtId="0" fontId="0" fillId="2" borderId="0" xfId="0" applyFill="1" applyAlignment="1">
      <alignment horizontal="left" vertical="center"/>
    </xf>
    <xf numFmtId="0" fontId="0" fillId="2" borderId="0" xfId="0" applyFill="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0" xfId="0" applyFill="1" applyAlignment="1" applyProtection="1">
      <alignment vertical="center"/>
      <protection hidden="1"/>
    </xf>
    <xf numFmtId="0" fontId="0" fillId="2" borderId="10" xfId="0" applyFill="1" applyBorder="1" applyAlignment="1" applyProtection="1">
      <alignment vertical="center"/>
      <protection hidden="1"/>
    </xf>
    <xf numFmtId="0" fontId="0" fillId="2" borderId="11" xfId="0" applyFill="1" applyBorder="1" applyAlignment="1" applyProtection="1">
      <alignment vertical="center"/>
      <protection hidden="1"/>
    </xf>
    <xf numFmtId="0" fontId="0" fillId="2" borderId="12" xfId="0" applyFill="1" applyBorder="1" applyAlignment="1" applyProtection="1">
      <alignment vertical="center"/>
      <protection hidden="1"/>
    </xf>
    <xf numFmtId="0" fontId="0" fillId="2" borderId="13" xfId="0" applyFill="1" applyBorder="1" applyAlignment="1" applyProtection="1">
      <alignment vertical="center"/>
      <protection hidden="1"/>
    </xf>
    <xf numFmtId="0" fontId="0" fillId="2" borderId="14" xfId="0" applyFill="1" applyBorder="1" applyAlignment="1" applyProtection="1">
      <alignment vertical="center"/>
      <protection hidden="1"/>
    </xf>
    <xf numFmtId="0" fontId="0" fillId="2" borderId="15" xfId="0" applyFill="1" applyBorder="1" applyAlignment="1" applyProtection="1">
      <alignment vertical="center"/>
      <protection hidden="1"/>
    </xf>
    <xf numFmtId="0" fontId="0" fillId="2" borderId="17" xfId="0" applyFill="1" applyBorder="1" applyAlignment="1" applyProtection="1">
      <alignment vertical="center"/>
      <protection hidden="1"/>
    </xf>
    <xf numFmtId="0" fontId="0" fillId="2" borderId="0" xfId="0" applyFill="1" applyAlignment="1">
      <alignment vertical="center"/>
    </xf>
    <xf numFmtId="0" fontId="3" fillId="2" borderId="0" xfId="0" applyFont="1" applyFill="1" applyAlignment="1">
      <alignment vertical="center"/>
    </xf>
    <xf numFmtId="0" fontId="0" fillId="0" borderId="0" xfId="0" applyAlignment="1">
      <alignment vertical="center"/>
    </xf>
    <xf numFmtId="0" fontId="14" fillId="6" borderId="2" xfId="0" applyFont="1" applyFill="1" applyBorder="1" applyAlignment="1">
      <alignment horizontal="center" vertical="center" wrapText="1"/>
    </xf>
    <xf numFmtId="0" fontId="11" fillId="5" borderId="9" xfId="0" applyFont="1" applyFill="1" applyBorder="1" applyAlignment="1">
      <alignment vertical="center"/>
    </xf>
    <xf numFmtId="0" fontId="10"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readingOrder="1"/>
    </xf>
    <xf numFmtId="0" fontId="9" fillId="0" borderId="1" xfId="0" applyFont="1" applyBorder="1" applyAlignment="1" applyProtection="1">
      <alignment vertical="center"/>
      <protection locked="0"/>
    </xf>
    <xf numFmtId="0" fontId="4" fillId="6" borderId="2" xfId="0" applyFont="1" applyFill="1" applyBorder="1" applyAlignment="1">
      <alignment horizontal="center" vertical="center" wrapText="1"/>
    </xf>
    <xf numFmtId="0" fontId="9" fillId="0" borderId="1" xfId="0" applyFont="1" applyBorder="1" applyAlignment="1" applyProtection="1">
      <alignment horizontal="center" vertical="center"/>
      <protection locked="0"/>
    </xf>
    <xf numFmtId="0" fontId="4" fillId="6" borderId="21" xfId="0" applyFont="1" applyFill="1" applyBorder="1" applyAlignment="1">
      <alignment horizontal="center" vertical="center" wrapText="1"/>
    </xf>
    <xf numFmtId="0" fontId="14" fillId="2" borderId="0" xfId="0" applyFont="1" applyFill="1" applyAlignment="1">
      <alignment vertical="center"/>
    </xf>
    <xf numFmtId="0" fontId="0" fillId="2" borderId="0" xfId="0" applyFill="1" applyAlignment="1">
      <alignment vertical="center" wrapText="1"/>
    </xf>
    <xf numFmtId="0" fontId="13" fillId="3" borderId="9" xfId="0" applyFont="1" applyFill="1" applyBorder="1" applyAlignment="1" applyProtection="1">
      <alignment horizontal="center" vertical="center"/>
      <protection hidden="1"/>
    </xf>
    <xf numFmtId="0" fontId="2" fillId="0" borderId="0" xfId="0" applyFont="1" applyAlignment="1">
      <alignment vertical="center"/>
    </xf>
    <xf numFmtId="0" fontId="0" fillId="2" borderId="5" xfId="0" applyFill="1" applyBorder="1" applyAlignment="1">
      <alignment vertical="center"/>
    </xf>
    <xf numFmtId="0" fontId="0" fillId="2" borderId="1" xfId="0" applyFill="1" applyBorder="1" applyAlignment="1">
      <alignment vertical="center"/>
    </xf>
    <xf numFmtId="0" fontId="0" fillId="0" borderId="5" xfId="0" applyBorder="1" applyAlignment="1">
      <alignment vertical="center"/>
    </xf>
    <xf numFmtId="0" fontId="0" fillId="0" borderId="1" xfId="0" applyBorder="1" applyAlignment="1">
      <alignment vertical="center"/>
    </xf>
    <xf numFmtId="0" fontId="1" fillId="8" borderId="1" xfId="0" applyFont="1" applyFill="1" applyBorder="1" applyAlignment="1">
      <alignment horizontal="center" vertical="center"/>
    </xf>
    <xf numFmtId="14" fontId="1" fillId="8" borderId="1" xfId="0" applyNumberFormat="1" applyFont="1" applyFill="1" applyBorder="1" applyAlignment="1">
      <alignment horizontal="center" vertical="center"/>
    </xf>
    <xf numFmtId="0" fontId="12" fillId="4"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0" borderId="1" xfId="0" applyBorder="1"/>
    <xf numFmtId="0" fontId="0" fillId="2" borderId="1" xfId="0" applyFill="1" applyBorder="1"/>
    <xf numFmtId="0" fontId="9" fillId="0" borderId="1" xfId="0" applyFont="1" applyBorder="1" applyAlignment="1" applyProtection="1">
      <alignment horizontal="center" vertical="center"/>
      <protection hidden="1"/>
    </xf>
    <xf numFmtId="0" fontId="1" fillId="0" borderId="1" xfId="0" applyFont="1" applyBorder="1" applyAlignment="1">
      <alignment horizontal="center" vertical="center"/>
    </xf>
    <xf numFmtId="4" fontId="9" fillId="0" borderId="1" xfId="0" applyNumberFormat="1" applyFont="1" applyBorder="1" applyAlignment="1" applyProtection="1">
      <alignment horizontal="center" vertical="center"/>
      <protection hidden="1"/>
    </xf>
    <xf numFmtId="0" fontId="2" fillId="2" borderId="0" xfId="0" applyFont="1" applyFill="1" applyAlignment="1" applyProtection="1">
      <alignment vertical="center"/>
      <protection hidden="1"/>
    </xf>
    <xf numFmtId="0" fontId="2" fillId="2" borderId="0" xfId="0" quotePrefix="1" applyFont="1" applyFill="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right" vertical="center"/>
      <protection hidden="1"/>
    </xf>
    <xf numFmtId="0" fontId="1" fillId="8" borderId="0" xfId="0" applyFont="1" applyFill="1" applyAlignment="1" applyProtection="1">
      <alignment horizontal="center" vertical="center"/>
      <protection hidden="1"/>
    </xf>
    <xf numFmtId="0" fontId="1" fillId="2" borderId="0" xfId="0" applyFont="1" applyFill="1" applyAlignment="1" applyProtection="1">
      <alignment horizontal="right" vertical="center"/>
      <protection hidden="1"/>
    </xf>
    <xf numFmtId="0" fontId="1" fillId="2" borderId="0" xfId="0" applyFont="1" applyFill="1" applyAlignment="1" applyProtection="1">
      <alignment horizontal="center" vertical="center"/>
      <protection hidden="1"/>
    </xf>
    <xf numFmtId="0" fontId="12" fillId="4" borderId="1" xfId="0" applyFont="1" applyFill="1" applyBorder="1" applyAlignment="1" applyProtection="1">
      <alignment horizontal="center" vertical="center" wrapText="1"/>
      <protection hidden="1"/>
    </xf>
    <xf numFmtId="0" fontId="1" fillId="2" borderId="0" xfId="0" applyFont="1" applyFill="1" applyAlignment="1" applyProtection="1">
      <alignment vertical="center" wrapText="1"/>
      <protection hidden="1"/>
    </xf>
    <xf numFmtId="0" fontId="2" fillId="2" borderId="0" xfId="0" applyFont="1" applyFill="1" applyAlignment="1" applyProtection="1">
      <alignment horizontal="center" vertical="center" wrapText="1"/>
      <protection hidden="1"/>
    </xf>
    <xf numFmtId="166" fontId="2" fillId="2" borderId="0" xfId="0" applyNumberFormat="1" applyFont="1" applyFill="1" applyAlignment="1" applyProtection="1">
      <alignment vertical="center" wrapText="1"/>
      <protection hidden="1"/>
    </xf>
    <xf numFmtId="0" fontId="2" fillId="2" borderId="0" xfId="0" applyFont="1" applyFill="1" applyAlignment="1" applyProtection="1">
      <alignment vertical="center" wrapText="1"/>
      <protection hidden="1"/>
    </xf>
    <xf numFmtId="0" fontId="2" fillId="2" borderId="1" xfId="0" quotePrefix="1" applyFont="1" applyFill="1" applyBorder="1" applyAlignment="1" applyProtection="1">
      <alignment horizontal="center" vertical="center"/>
      <protection hidden="1"/>
    </xf>
    <xf numFmtId="165" fontId="2" fillId="2" borderId="1" xfId="0" applyNumberFormat="1" applyFont="1" applyFill="1" applyBorder="1" applyAlignment="1" applyProtection="1">
      <alignment horizontal="center" vertical="center"/>
      <protection hidden="1"/>
    </xf>
    <xf numFmtId="166" fontId="2" fillId="2" borderId="0" xfId="0" applyNumberFormat="1" applyFont="1" applyFill="1" applyAlignment="1" applyProtection="1">
      <alignment vertical="center"/>
      <protection hidden="1"/>
    </xf>
    <xf numFmtId="165" fontId="2" fillId="2" borderId="0" xfId="0" applyNumberFormat="1" applyFont="1" applyFill="1" applyAlignment="1" applyProtection="1">
      <alignment vertical="center"/>
      <protection hidden="1"/>
    </xf>
    <xf numFmtId="0" fontId="2" fillId="2" borderId="1" xfId="0" applyFont="1" applyFill="1" applyBorder="1" applyAlignment="1" applyProtection="1">
      <alignment horizontal="center" vertical="center"/>
      <protection hidden="1"/>
    </xf>
    <xf numFmtId="0" fontId="2" fillId="8" borderId="22" xfId="0" applyFont="1" applyFill="1" applyBorder="1" applyAlignment="1" applyProtection="1">
      <alignment vertical="center"/>
      <protection hidden="1"/>
    </xf>
    <xf numFmtId="0" fontId="2" fillId="8" borderId="0" xfId="0" applyFont="1" applyFill="1" applyAlignment="1" applyProtection="1">
      <alignment horizontal="center" vertical="center"/>
      <protection hidden="1"/>
    </xf>
    <xf numFmtId="3" fontId="2" fillId="8" borderId="6" xfId="0" applyNumberFormat="1" applyFont="1" applyFill="1" applyBorder="1" applyAlignment="1" applyProtection="1">
      <alignment horizontal="center" vertical="center"/>
      <protection hidden="1"/>
    </xf>
    <xf numFmtId="168" fontId="2" fillId="2" borderId="0" xfId="0" applyNumberFormat="1" applyFont="1" applyFill="1" applyAlignment="1" applyProtection="1">
      <alignment vertical="center"/>
      <protection hidden="1"/>
    </xf>
    <xf numFmtId="0" fontId="2" fillId="8" borderId="1" xfId="0" applyFont="1" applyFill="1" applyBorder="1" applyAlignment="1" applyProtection="1">
      <alignment vertical="center"/>
      <protection hidden="1"/>
    </xf>
    <xf numFmtId="9" fontId="2" fillId="2" borderId="1" xfId="0" applyNumberFormat="1" applyFont="1" applyFill="1" applyBorder="1" applyAlignment="1" applyProtection="1">
      <alignment horizontal="center" vertical="center"/>
      <protection hidden="1"/>
    </xf>
    <xf numFmtId="3" fontId="2" fillId="2" borderId="1" xfId="0" applyNumberFormat="1" applyFont="1" applyFill="1" applyBorder="1" applyAlignment="1" applyProtection="1">
      <alignment horizontal="center" vertical="center"/>
      <protection hidden="1"/>
    </xf>
    <xf numFmtId="0" fontId="18" fillId="2" borderId="0" xfId="0" applyFont="1" applyFill="1" applyAlignment="1" applyProtection="1">
      <alignment vertical="center"/>
      <protection hidden="1"/>
    </xf>
    <xf numFmtId="0" fontId="12" fillId="4" borderId="2" xfId="0" applyFont="1" applyFill="1" applyBorder="1" applyAlignment="1" applyProtection="1">
      <alignment horizontal="center" vertical="center" wrapText="1"/>
      <protection hidden="1"/>
    </xf>
    <xf numFmtId="0" fontId="2" fillId="0" borderId="0" xfId="0" applyFont="1" applyProtection="1">
      <protection hidden="1"/>
    </xf>
    <xf numFmtId="14" fontId="2" fillId="0" borderId="0" xfId="0" applyNumberFormat="1" applyFont="1" applyProtection="1">
      <protection hidden="1"/>
    </xf>
    <xf numFmtId="1" fontId="2" fillId="0" borderId="0" xfId="0" applyNumberFormat="1" applyFont="1" applyAlignment="1" applyProtection="1">
      <alignment horizontal="center"/>
      <protection hidden="1"/>
    </xf>
    <xf numFmtId="168" fontId="2" fillId="0" borderId="0" xfId="0" applyNumberFormat="1" applyFont="1" applyAlignment="1" applyProtection="1">
      <alignment horizontal="center"/>
      <protection hidden="1"/>
    </xf>
    <xf numFmtId="44" fontId="2" fillId="0" borderId="0" xfId="1" applyNumberFormat="1" applyFont="1" applyProtection="1">
      <protection hidden="1"/>
    </xf>
    <xf numFmtId="3" fontId="2" fillId="0" borderId="0" xfId="0" applyNumberFormat="1" applyFont="1" applyAlignment="1" applyProtection="1">
      <alignment horizontal="center"/>
      <protection hidden="1"/>
    </xf>
    <xf numFmtId="14" fontId="2" fillId="0" borderId="0" xfId="0" applyNumberFormat="1" applyFont="1" applyAlignment="1">
      <alignment vertical="center"/>
    </xf>
    <xf numFmtId="1" fontId="6" fillId="0" borderId="1" xfId="0" quotePrefix="1" applyNumberFormat="1" applyFont="1" applyBorder="1" applyAlignment="1" applyProtection="1">
      <alignment horizontal="center" vertical="center"/>
      <protection locked="0"/>
    </xf>
    <xf numFmtId="0" fontId="23" fillId="2" borderId="0" xfId="0" applyFont="1" applyFill="1" applyAlignment="1" applyProtection="1">
      <alignment vertical="center"/>
      <protection hidden="1"/>
    </xf>
    <xf numFmtId="0" fontId="20" fillId="6" borderId="27" xfId="0" applyFont="1" applyFill="1" applyBorder="1" applyAlignment="1">
      <alignment horizontal="left" vertical="center"/>
    </xf>
    <xf numFmtId="0" fontId="20" fillId="6" borderId="31" xfId="0" applyFont="1" applyFill="1" applyBorder="1" applyAlignment="1">
      <alignment horizontal="left" vertical="center"/>
    </xf>
    <xf numFmtId="9" fontId="20" fillId="6" borderId="31" xfId="0" applyNumberFormat="1" applyFont="1" applyFill="1" applyBorder="1" applyAlignment="1">
      <alignment horizontal="left" vertical="center"/>
    </xf>
    <xf numFmtId="9" fontId="20" fillId="6" borderId="28" xfId="0" applyNumberFormat="1" applyFont="1" applyFill="1" applyBorder="1" applyAlignment="1">
      <alignment horizontal="left" vertical="center"/>
    </xf>
    <xf numFmtId="174" fontId="0" fillId="2" borderId="1" xfId="0" applyNumberFormat="1" applyFill="1" applyBorder="1" applyAlignment="1">
      <alignment horizontal="right" vertical="center"/>
    </xf>
    <xf numFmtId="0" fontId="2" fillId="0" borderId="0" xfId="0" applyFont="1" applyAlignment="1">
      <alignment horizontal="right" vertical="center"/>
    </xf>
    <xf numFmtId="4" fontId="0" fillId="2" borderId="0" xfId="0" applyNumberFormat="1" applyFill="1" applyAlignment="1">
      <alignment vertical="center" wrapText="1"/>
    </xf>
    <xf numFmtId="172" fontId="30" fillId="13" borderId="20" xfId="0" applyNumberFormat="1" applyFont="1" applyFill="1" applyBorder="1" applyAlignment="1" applyProtection="1">
      <alignment vertical="center"/>
      <protection hidden="1"/>
    </xf>
    <xf numFmtId="171" fontId="32" fillId="6" borderId="2" xfId="0" applyNumberFormat="1" applyFont="1" applyFill="1" applyBorder="1" applyAlignment="1" applyProtection="1">
      <alignment horizontal="center" vertical="center"/>
      <protection hidden="1"/>
    </xf>
    <xf numFmtId="171" fontId="32" fillId="6" borderId="40" xfId="0" applyNumberFormat="1" applyFont="1" applyFill="1" applyBorder="1" applyAlignment="1" applyProtection="1">
      <alignment horizontal="center" vertical="center"/>
      <protection hidden="1"/>
    </xf>
    <xf numFmtId="172" fontId="31" fillId="6" borderId="35" xfId="0" applyNumberFormat="1" applyFont="1" applyFill="1" applyBorder="1" applyAlignment="1" applyProtection="1">
      <alignment horizontal="left" vertical="center"/>
      <protection hidden="1"/>
    </xf>
    <xf numFmtId="171" fontId="32" fillId="6" borderId="2" xfId="1" applyNumberFormat="1" applyFont="1" applyFill="1" applyBorder="1" applyAlignment="1" applyProtection="1">
      <alignment vertical="center"/>
      <protection hidden="1"/>
    </xf>
    <xf numFmtId="172" fontId="32" fillId="6" borderId="2" xfId="0" applyNumberFormat="1" applyFont="1" applyFill="1" applyBorder="1" applyAlignment="1" applyProtection="1">
      <alignment vertical="center"/>
      <protection hidden="1"/>
    </xf>
    <xf numFmtId="173" fontId="32" fillId="12" borderId="2" xfId="0" applyNumberFormat="1" applyFont="1" applyFill="1" applyBorder="1" applyAlignment="1" applyProtection="1">
      <alignment horizontal="center" vertical="center"/>
      <protection hidden="1"/>
    </xf>
    <xf numFmtId="172" fontId="35" fillId="3" borderId="21" xfId="0" applyNumberFormat="1" applyFont="1" applyFill="1" applyBorder="1" applyAlignment="1" applyProtection="1">
      <alignment vertical="center"/>
      <protection hidden="1"/>
    </xf>
    <xf numFmtId="171" fontId="32" fillId="6" borderId="41" xfId="0" applyNumberFormat="1" applyFont="1" applyFill="1" applyBorder="1" applyAlignment="1" applyProtection="1">
      <alignment horizontal="center" vertical="center"/>
      <protection hidden="1"/>
    </xf>
    <xf numFmtId="172" fontId="32" fillId="6" borderId="40" xfId="0" applyNumberFormat="1" applyFont="1" applyFill="1" applyBorder="1" applyAlignment="1" applyProtection="1">
      <alignment vertical="center"/>
      <protection hidden="1"/>
    </xf>
    <xf numFmtId="173" fontId="32" fillId="12" borderId="40" xfId="0" applyNumberFormat="1" applyFont="1" applyFill="1" applyBorder="1" applyAlignment="1" applyProtection="1">
      <alignment horizontal="center" vertical="center"/>
      <protection hidden="1"/>
    </xf>
    <xf numFmtId="172" fontId="35" fillId="3" borderId="33" xfId="0" applyNumberFormat="1" applyFont="1" applyFill="1" applyBorder="1" applyAlignment="1" applyProtection="1">
      <alignment vertical="center"/>
      <protection hidden="1"/>
    </xf>
    <xf numFmtId="172" fontId="35" fillId="3" borderId="35" xfId="0" applyNumberFormat="1" applyFont="1" applyFill="1" applyBorder="1" applyAlignment="1" applyProtection="1">
      <alignment horizontal="center" vertical="center"/>
      <protection hidden="1"/>
    </xf>
    <xf numFmtId="172" fontId="35" fillId="3" borderId="21" xfId="0" applyNumberFormat="1" applyFont="1" applyFill="1" applyBorder="1" applyAlignment="1" applyProtection="1">
      <alignment horizontal="center" vertical="center"/>
      <protection hidden="1"/>
    </xf>
    <xf numFmtId="172" fontId="32" fillId="6" borderId="1" xfId="0" applyNumberFormat="1" applyFont="1" applyFill="1" applyBorder="1" applyAlignment="1" applyProtection="1">
      <alignment vertical="center"/>
      <protection hidden="1"/>
    </xf>
    <xf numFmtId="173" fontId="32" fillId="12" borderId="1" xfId="0" applyNumberFormat="1" applyFont="1" applyFill="1" applyBorder="1" applyAlignment="1" applyProtection="1">
      <alignment horizontal="center" vertical="center"/>
      <protection hidden="1"/>
    </xf>
    <xf numFmtId="172" fontId="35" fillId="3" borderId="33" xfId="0" applyNumberFormat="1" applyFont="1" applyFill="1" applyBorder="1" applyAlignment="1" applyProtection="1">
      <alignment horizontal="center" vertical="center"/>
      <protection hidden="1"/>
    </xf>
    <xf numFmtId="170" fontId="36" fillId="10" borderId="2" xfId="5" applyNumberFormat="1" applyFont="1" applyBorder="1" applyAlignment="1" applyProtection="1">
      <alignment horizontal="center" vertical="center"/>
      <protection locked="0"/>
    </xf>
    <xf numFmtId="170" fontId="36" fillId="10" borderId="40" xfId="5" applyNumberFormat="1" applyFont="1" applyBorder="1" applyAlignment="1" applyProtection="1">
      <alignment horizontal="center" vertical="center"/>
      <protection locked="0"/>
    </xf>
    <xf numFmtId="42" fontId="36" fillId="10" borderId="2" xfId="5" applyNumberFormat="1" applyFont="1" applyBorder="1" applyAlignment="1" applyProtection="1">
      <alignment horizontal="center" vertical="center"/>
      <protection locked="0"/>
    </xf>
    <xf numFmtId="42" fontId="36" fillId="10" borderId="40" xfId="5" applyNumberFormat="1" applyFont="1" applyBorder="1" applyAlignment="1" applyProtection="1">
      <alignment horizontal="center" vertical="center"/>
      <protection locked="0"/>
    </xf>
    <xf numFmtId="42" fontId="36" fillId="10" borderId="44" xfId="5" applyNumberFormat="1" applyFont="1" applyBorder="1" applyAlignment="1" applyProtection="1">
      <alignment horizontal="center" vertical="center"/>
      <protection locked="0"/>
    </xf>
    <xf numFmtId="42" fontId="36" fillId="10" borderId="43" xfId="5" applyNumberFormat="1" applyFont="1" applyBorder="1" applyAlignment="1" applyProtection="1">
      <alignment horizontal="center" vertical="center"/>
      <protection locked="0"/>
    </xf>
    <xf numFmtId="42" fontId="36" fillId="10" borderId="1" xfId="5" applyNumberFormat="1" applyFont="1" applyBorder="1" applyAlignment="1" applyProtection="1">
      <alignment horizontal="center" vertical="center"/>
      <protection locked="0"/>
    </xf>
    <xf numFmtId="0" fontId="35" fillId="2" borderId="0" xfId="0" applyFont="1" applyFill="1" applyAlignment="1" applyProtection="1">
      <alignment vertical="center"/>
      <protection hidden="1"/>
    </xf>
    <xf numFmtId="0" fontId="37" fillId="8" borderId="29" xfId="0" applyFont="1" applyFill="1" applyBorder="1" applyAlignment="1" applyProtection="1">
      <alignment horizontal="center" vertical="center"/>
      <protection hidden="1"/>
    </xf>
    <xf numFmtId="0" fontId="20" fillId="2" borderId="13" xfId="0" applyFont="1" applyFill="1" applyBorder="1" applyAlignment="1" applyProtection="1">
      <alignment vertical="center"/>
      <protection hidden="1"/>
    </xf>
    <xf numFmtId="0" fontId="20" fillId="2" borderId="0" xfId="0" applyFont="1" applyFill="1" applyAlignment="1" applyProtection="1">
      <alignment horizontal="center" vertical="center"/>
      <protection hidden="1"/>
    </xf>
    <xf numFmtId="0" fontId="20" fillId="2" borderId="0" xfId="0" applyFont="1" applyFill="1" applyAlignment="1" applyProtection="1">
      <alignment vertical="center"/>
      <protection hidden="1"/>
    </xf>
    <xf numFmtId="0" fontId="20" fillId="2" borderId="14" xfId="0" applyFont="1" applyFill="1" applyBorder="1" applyAlignment="1" applyProtection="1">
      <alignment vertical="center"/>
      <protection hidden="1"/>
    </xf>
    <xf numFmtId="0" fontId="23" fillId="8" borderId="18" xfId="0" applyFont="1" applyFill="1" applyBorder="1" applyAlignment="1" applyProtection="1">
      <alignment horizontal="center" vertical="center"/>
      <protection hidden="1"/>
    </xf>
    <xf numFmtId="0" fontId="35" fillId="2" borderId="13" xfId="0" applyFont="1" applyFill="1" applyBorder="1" applyAlignment="1" applyProtection="1">
      <alignment horizontal="center" vertical="center"/>
      <protection hidden="1"/>
    </xf>
    <xf numFmtId="0" fontId="31" fillId="2" borderId="0" xfId="0" applyFont="1" applyFill="1" applyAlignment="1" applyProtection="1">
      <alignment horizontal="center" vertical="center"/>
      <protection hidden="1"/>
    </xf>
    <xf numFmtId="0" fontId="20" fillId="2" borderId="11" xfId="0" applyFont="1" applyFill="1" applyBorder="1" applyAlignment="1" applyProtection="1">
      <alignment horizontal="center" vertical="center"/>
      <protection hidden="1"/>
    </xf>
    <xf numFmtId="0" fontId="39" fillId="2" borderId="0" xfId="0" applyFont="1" applyFill="1" applyAlignment="1" applyProtection="1">
      <alignment vertical="center"/>
      <protection hidden="1"/>
    </xf>
    <xf numFmtId="0" fontId="25" fillId="2" borderId="14" xfId="0" applyFont="1" applyFill="1" applyBorder="1" applyAlignment="1" applyProtection="1">
      <alignment vertical="center"/>
      <protection hidden="1"/>
    </xf>
    <xf numFmtId="0" fontId="31" fillId="2" borderId="13" xfId="0" applyFont="1" applyFill="1" applyBorder="1" applyAlignment="1" applyProtection="1">
      <alignment horizontal="center" vertical="center"/>
      <protection hidden="1"/>
    </xf>
    <xf numFmtId="0" fontId="20" fillId="2" borderId="15" xfId="0" applyFont="1" applyFill="1" applyBorder="1" applyAlignment="1" applyProtection="1">
      <alignment horizontal="center" vertical="center"/>
      <protection hidden="1"/>
    </xf>
    <xf numFmtId="0" fontId="24" fillId="0" borderId="16" xfId="0" applyFont="1" applyBorder="1" applyAlignment="1" applyProtection="1">
      <alignment horizontal="center" vertical="center"/>
      <protection hidden="1"/>
    </xf>
    <xf numFmtId="0" fontId="20" fillId="2" borderId="16" xfId="0" applyFont="1" applyFill="1" applyBorder="1" applyAlignment="1" applyProtection="1">
      <alignment horizontal="center" vertical="center"/>
      <protection hidden="1"/>
    </xf>
    <xf numFmtId="0" fontId="20" fillId="2" borderId="16" xfId="0" applyFont="1" applyFill="1" applyBorder="1" applyAlignment="1" applyProtection="1">
      <alignment vertical="center"/>
      <protection hidden="1"/>
    </xf>
    <xf numFmtId="0" fontId="25" fillId="2" borderId="17" xfId="0" applyFont="1" applyFill="1" applyBorder="1" applyAlignment="1" applyProtection="1">
      <alignment vertical="center"/>
      <protection hidden="1"/>
    </xf>
    <xf numFmtId="14" fontId="33" fillId="8" borderId="27" xfId="0" applyNumberFormat="1" applyFont="1" applyFill="1" applyBorder="1" applyAlignment="1" applyProtection="1">
      <alignment horizontal="center" vertical="center"/>
      <protection hidden="1"/>
    </xf>
    <xf numFmtId="0" fontId="31" fillId="2" borderId="0" xfId="0" applyFont="1" applyFill="1" applyAlignment="1" applyProtection="1">
      <alignment vertical="center"/>
      <protection hidden="1"/>
    </xf>
    <xf numFmtId="172" fontId="20" fillId="2" borderId="0" xfId="0" applyNumberFormat="1" applyFont="1" applyFill="1" applyAlignment="1" applyProtection="1">
      <alignment vertical="center"/>
      <protection hidden="1"/>
    </xf>
    <xf numFmtId="0" fontId="20" fillId="2" borderId="10" xfId="0" applyFont="1" applyFill="1" applyBorder="1" applyAlignment="1" applyProtection="1">
      <alignment vertical="center"/>
      <protection hidden="1"/>
    </xf>
    <xf numFmtId="0" fontId="20" fillId="2" borderId="11" xfId="0" applyFont="1" applyFill="1" applyBorder="1" applyAlignment="1" applyProtection="1">
      <alignment vertical="center"/>
      <protection hidden="1"/>
    </xf>
    <xf numFmtId="0" fontId="20" fillId="2" borderId="12" xfId="0" applyFont="1" applyFill="1" applyBorder="1" applyAlignment="1" applyProtection="1">
      <alignment vertical="center"/>
      <protection hidden="1"/>
    </xf>
    <xf numFmtId="14" fontId="31" fillId="2" borderId="0" xfId="0" applyNumberFormat="1" applyFont="1" applyFill="1" applyAlignment="1" applyProtection="1">
      <alignment vertical="center"/>
      <protection hidden="1"/>
    </xf>
    <xf numFmtId="0" fontId="33" fillId="2" borderId="0" xfId="0" applyFont="1" applyFill="1" applyAlignment="1" applyProtection="1">
      <alignment horizontal="center" vertical="center"/>
      <protection hidden="1"/>
    </xf>
    <xf numFmtId="0" fontId="31" fillId="0" borderId="34" xfId="0" applyFont="1" applyBorder="1" applyAlignment="1" applyProtection="1">
      <alignment vertical="center"/>
      <protection hidden="1"/>
    </xf>
    <xf numFmtId="0" fontId="31" fillId="0" borderId="32" xfId="0" applyFont="1" applyBorder="1" applyAlignment="1" applyProtection="1">
      <alignment vertical="center"/>
      <protection hidden="1"/>
    </xf>
    <xf numFmtId="0" fontId="34" fillId="2" borderId="0" xfId="0" applyFont="1" applyFill="1" applyAlignment="1" applyProtection="1">
      <alignment vertical="center"/>
      <protection hidden="1"/>
    </xf>
    <xf numFmtId="0" fontId="33" fillId="8" borderId="36" xfId="0" applyFont="1" applyFill="1" applyBorder="1" applyAlignment="1" applyProtection="1">
      <alignment horizontal="left" vertical="center" wrapText="1"/>
      <protection hidden="1"/>
    </xf>
    <xf numFmtId="0" fontId="33" fillId="0" borderId="37" xfId="0" applyFont="1" applyBorder="1" applyAlignment="1" applyProtection="1">
      <alignment horizontal="center" vertical="center" wrapText="1"/>
      <protection hidden="1"/>
    </xf>
    <xf numFmtId="0" fontId="33" fillId="2" borderId="26" xfId="0" applyFont="1" applyFill="1" applyBorder="1" applyAlignment="1" applyProtection="1">
      <alignment horizontal="center" vertical="center" wrapText="1"/>
      <protection hidden="1"/>
    </xf>
    <xf numFmtId="0" fontId="31" fillId="0" borderId="38" xfId="0" applyFont="1" applyBorder="1" applyAlignment="1" applyProtection="1">
      <alignment vertical="center"/>
      <protection hidden="1"/>
    </xf>
    <xf numFmtId="0" fontId="31" fillId="0" borderId="39" xfId="0" applyFont="1" applyBorder="1" applyAlignment="1" applyProtection="1">
      <alignment vertical="center"/>
      <protection hidden="1"/>
    </xf>
    <xf numFmtId="0" fontId="33" fillId="8" borderId="36" xfId="0" applyFont="1" applyFill="1" applyBorder="1" applyAlignment="1" applyProtection="1">
      <alignment vertical="center"/>
      <protection hidden="1"/>
    </xf>
    <xf numFmtId="0" fontId="31" fillId="0" borderId="46" xfId="0" applyFont="1" applyBorder="1" applyAlignment="1" applyProtection="1">
      <alignment vertical="center"/>
      <protection hidden="1"/>
    </xf>
    <xf numFmtId="44" fontId="20" fillId="2" borderId="0" xfId="0" applyNumberFormat="1" applyFont="1" applyFill="1" applyAlignment="1" applyProtection="1">
      <alignment vertical="center"/>
      <protection hidden="1"/>
    </xf>
    <xf numFmtId="0" fontId="27" fillId="2" borderId="14" xfId="0" applyFont="1" applyFill="1" applyBorder="1" applyAlignment="1" applyProtection="1">
      <alignment vertical="center"/>
      <protection hidden="1"/>
    </xf>
    <xf numFmtId="0" fontId="27" fillId="0" borderId="0" xfId="0" applyFont="1" applyAlignment="1" applyProtection="1">
      <alignment vertical="center"/>
      <protection hidden="1"/>
    </xf>
    <xf numFmtId="0" fontId="33" fillId="0" borderId="51" xfId="0" applyFont="1" applyBorder="1" applyAlignment="1" applyProtection="1">
      <alignment horizontal="center" vertical="center" wrapText="1"/>
      <protection hidden="1"/>
    </xf>
    <xf numFmtId="0" fontId="33" fillId="0" borderId="9" xfId="0" applyFont="1" applyBorder="1" applyAlignment="1" applyProtection="1">
      <alignment horizontal="center" vertical="center" wrapText="1"/>
      <protection hidden="1"/>
    </xf>
    <xf numFmtId="0" fontId="33" fillId="0" borderId="52" xfId="0" applyFont="1" applyBorder="1" applyAlignment="1" applyProtection="1">
      <alignment horizontal="center" vertical="center" wrapText="1"/>
      <protection hidden="1"/>
    </xf>
    <xf numFmtId="0" fontId="22" fillId="2" borderId="0" xfId="0" applyFont="1" applyFill="1" applyAlignment="1" applyProtection="1">
      <alignment horizontal="right" vertical="center"/>
      <protection hidden="1"/>
    </xf>
    <xf numFmtId="44" fontId="29" fillId="3" borderId="9" xfId="0" applyNumberFormat="1" applyFont="1" applyFill="1" applyBorder="1" applyAlignment="1" applyProtection="1">
      <alignment vertical="center"/>
      <protection hidden="1"/>
    </xf>
    <xf numFmtId="0" fontId="26" fillId="2" borderId="0" xfId="0" applyFont="1" applyFill="1" applyAlignment="1" applyProtection="1">
      <alignment horizontal="right" vertical="center"/>
      <protection hidden="1"/>
    </xf>
    <xf numFmtId="0" fontId="20" fillId="2" borderId="15" xfId="0" applyFont="1" applyFill="1" applyBorder="1" applyAlignment="1" applyProtection="1">
      <alignment vertical="center"/>
      <protection hidden="1"/>
    </xf>
    <xf numFmtId="0" fontId="26" fillId="2" borderId="16" xfId="0" applyFont="1" applyFill="1" applyBorder="1" applyAlignment="1" applyProtection="1">
      <alignment horizontal="right" vertical="center"/>
      <protection hidden="1"/>
    </xf>
    <xf numFmtId="0" fontId="20" fillId="2" borderId="17" xfId="0" applyFont="1" applyFill="1" applyBorder="1" applyAlignment="1" applyProtection="1">
      <alignment vertical="center"/>
      <protection hidden="1"/>
    </xf>
    <xf numFmtId="14" fontId="1" fillId="0" borderId="1" xfId="0" applyNumberFormat="1" applyFont="1" applyBorder="1" applyAlignment="1" applyProtection="1">
      <alignment horizontal="center" vertical="center"/>
      <protection hidden="1"/>
    </xf>
    <xf numFmtId="0" fontId="12" fillId="4" borderId="3" xfId="0" applyFont="1" applyFill="1" applyBorder="1" applyAlignment="1" applyProtection="1">
      <alignment horizontal="center" vertical="center" wrapText="1"/>
      <protection hidden="1"/>
    </xf>
    <xf numFmtId="3" fontId="12" fillId="9" borderId="29" xfId="0" applyNumberFormat="1" applyFont="1" applyFill="1" applyBorder="1" applyAlignment="1" applyProtection="1">
      <alignment horizontal="center" vertical="center" wrapText="1"/>
      <protection hidden="1"/>
    </xf>
    <xf numFmtId="0" fontId="12" fillId="9" borderId="44" xfId="0" applyFont="1" applyFill="1" applyBorder="1" applyAlignment="1" applyProtection="1">
      <alignment horizontal="center" vertical="center" wrapText="1"/>
      <protection hidden="1"/>
    </xf>
    <xf numFmtId="0" fontId="12" fillId="9" borderId="30" xfId="0" applyFont="1" applyFill="1" applyBorder="1" applyAlignment="1" applyProtection="1">
      <alignment horizontal="center" vertical="center" wrapText="1"/>
      <protection hidden="1"/>
    </xf>
    <xf numFmtId="3" fontId="2" fillId="0" borderId="13" xfId="1" applyNumberFormat="1" applyFont="1" applyBorder="1" applyAlignment="1" applyProtection="1">
      <alignment horizontal="center"/>
      <protection hidden="1"/>
    </xf>
    <xf numFmtId="3" fontId="2" fillId="0" borderId="0" xfId="1" applyNumberFormat="1" applyFont="1" applyBorder="1" applyAlignment="1" applyProtection="1">
      <alignment horizontal="center"/>
      <protection hidden="1"/>
    </xf>
    <xf numFmtId="44"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3" fontId="2" fillId="0" borderId="15" xfId="1" applyNumberFormat="1" applyFont="1" applyBorder="1" applyAlignment="1" applyProtection="1">
      <alignment horizontal="center"/>
      <protection hidden="1"/>
    </xf>
    <xf numFmtId="3" fontId="2" fillId="0" borderId="16" xfId="1" applyNumberFormat="1" applyFont="1" applyBorder="1" applyAlignment="1" applyProtection="1">
      <alignment horizontal="center"/>
      <protection hidden="1"/>
    </xf>
    <xf numFmtId="0" fontId="2" fillId="0" borderId="16" xfId="0" applyFont="1" applyBorder="1" applyAlignment="1" applyProtection="1">
      <alignment horizontal="center"/>
      <protection hidden="1"/>
    </xf>
    <xf numFmtId="44" fontId="2" fillId="0" borderId="16" xfId="0" applyNumberFormat="1" applyFont="1" applyBorder="1" applyAlignment="1" applyProtection="1">
      <alignment horizontal="center"/>
      <protection hidden="1"/>
    </xf>
    <xf numFmtId="1" fontId="2" fillId="0" borderId="14" xfId="4" applyNumberFormat="1" applyFont="1" applyBorder="1" applyAlignment="1" applyProtection="1">
      <alignment horizontal="center"/>
      <protection hidden="1"/>
    </xf>
    <xf numFmtId="0" fontId="2" fillId="0" borderId="0" xfId="0" applyFont="1" applyAlignment="1" applyProtection="1">
      <alignment horizontal="right"/>
      <protection hidden="1"/>
    </xf>
    <xf numFmtId="1" fontId="2" fillId="0" borderId="0" xfId="0" applyNumberFormat="1" applyFont="1" applyAlignment="1" applyProtection="1">
      <alignment horizontal="right"/>
      <protection hidden="1"/>
    </xf>
    <xf numFmtId="0" fontId="9" fillId="0" borderId="1" xfId="0" applyFont="1" applyBorder="1" applyAlignment="1" applyProtection="1">
      <alignment vertical="center"/>
      <protection hidden="1"/>
    </xf>
    <xf numFmtId="0" fontId="10" fillId="14" borderId="1" xfId="0" applyFont="1" applyFill="1" applyBorder="1" applyAlignment="1">
      <alignment horizontal="center" vertical="center" wrapText="1"/>
    </xf>
    <xf numFmtId="0" fontId="10" fillId="15" borderId="1" xfId="0" applyFont="1" applyFill="1" applyBorder="1" applyAlignment="1">
      <alignment horizontal="center" vertical="center" wrapText="1" readingOrder="1"/>
    </xf>
    <xf numFmtId="0" fontId="0" fillId="0" borderId="1" xfId="0" applyBorder="1" applyAlignment="1" applyProtection="1">
      <alignment vertical="center"/>
      <protection locked="0"/>
    </xf>
    <xf numFmtId="14" fontId="0" fillId="0" borderId="1" xfId="0" quotePrefix="1" applyNumberFormat="1" applyBorder="1" applyAlignment="1" applyProtection="1">
      <alignment horizontal="center" vertical="center"/>
      <protection locked="0"/>
    </xf>
    <xf numFmtId="167" fontId="0" fillId="0" borderId="1" xfId="0" quotePrefix="1"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167" fontId="0" fillId="0" borderId="1"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167" fontId="0" fillId="0" borderId="1" xfId="0" applyNumberFormat="1" applyBorder="1" applyAlignment="1" applyProtection="1">
      <alignment vertical="center"/>
      <protection locked="0"/>
    </xf>
    <xf numFmtId="0" fontId="0" fillId="0" borderId="1" xfId="0" quotePrefix="1" applyBorder="1" applyAlignment="1" applyProtection="1">
      <alignment vertical="center"/>
      <protection locked="0"/>
    </xf>
    <xf numFmtId="0" fontId="15" fillId="0" borderId="1" xfId="3" applyBorder="1" applyAlignment="1" applyProtection="1">
      <alignment vertical="center"/>
      <protection locked="0"/>
    </xf>
    <xf numFmtId="0" fontId="0" fillId="0" borderId="4" xfId="0" quotePrefix="1" applyBorder="1" applyAlignment="1" applyProtection="1">
      <alignment vertical="center"/>
      <protection locked="0"/>
    </xf>
    <xf numFmtId="42" fontId="9" fillId="0" borderId="1" xfId="0" quotePrefix="1" applyNumberFormat="1" applyFont="1" applyBorder="1" applyAlignment="1" applyProtection="1">
      <alignment horizontal="center" vertical="center" wrapText="1"/>
      <protection hidden="1"/>
    </xf>
    <xf numFmtId="0" fontId="4" fillId="6" borderId="1" xfId="0" applyFont="1" applyFill="1" applyBorder="1" applyAlignment="1" applyProtection="1">
      <alignment horizontal="center" vertical="center" wrapText="1"/>
      <protection hidden="1"/>
    </xf>
    <xf numFmtId="0" fontId="0" fillId="0" borderId="1" xfId="0" applyBorder="1" applyProtection="1">
      <protection locked="0"/>
    </xf>
    <xf numFmtId="170" fontId="36" fillId="10" borderId="60" xfId="5" applyNumberFormat="1" applyFont="1" applyBorder="1" applyAlignment="1" applyProtection="1">
      <alignment horizontal="center" vertical="center"/>
      <protection locked="0"/>
    </xf>
    <xf numFmtId="1" fontId="36" fillId="10" borderId="2" xfId="5" applyNumberFormat="1" applyFont="1" applyBorder="1" applyAlignment="1" applyProtection="1">
      <alignment horizontal="center" vertical="center"/>
      <protection locked="0"/>
    </xf>
    <xf numFmtId="1" fontId="36" fillId="10" borderId="40" xfId="5" applyNumberFormat="1" applyFont="1" applyBorder="1" applyAlignment="1" applyProtection="1">
      <alignment horizontal="center" vertical="center"/>
      <protection locked="0"/>
    </xf>
    <xf numFmtId="1" fontId="36" fillId="10" borderId="1" xfId="5" applyNumberFormat="1" applyFont="1" applyBorder="1" applyAlignment="1" applyProtection="1">
      <alignment horizontal="center" vertical="center"/>
      <protection locked="0"/>
    </xf>
    <xf numFmtId="1" fontId="36" fillId="10" borderId="43" xfId="5" applyNumberFormat="1" applyFont="1" applyBorder="1" applyAlignment="1" applyProtection="1">
      <alignment horizontal="center" vertical="center"/>
      <protection locked="0"/>
    </xf>
    <xf numFmtId="167" fontId="42" fillId="0" borderId="1" xfId="0" applyNumberFormat="1" applyFont="1" applyBorder="1" applyAlignment="1" applyProtection="1">
      <alignment horizontal="center" vertical="center"/>
      <protection locked="0"/>
    </xf>
    <xf numFmtId="0" fontId="0" fillId="0" borderId="5" xfId="0" applyBorder="1" applyAlignment="1" applyProtection="1">
      <alignment vertical="center"/>
      <protection locked="0"/>
    </xf>
    <xf numFmtId="49" fontId="6" fillId="0" borderId="1" xfId="0" quotePrefix="1" applyNumberFormat="1" applyFont="1" applyBorder="1" applyAlignment="1" applyProtection="1">
      <alignment horizontal="center" vertical="center"/>
      <protection locked="0"/>
    </xf>
    <xf numFmtId="14" fontId="0" fillId="0" borderId="1" xfId="0" applyNumberFormat="1" applyBorder="1" applyAlignment="1" applyProtection="1">
      <alignment vertical="center"/>
      <protection locked="0"/>
    </xf>
    <xf numFmtId="0" fontId="0" fillId="16" borderId="1" xfId="0" applyFill="1" applyBorder="1" applyAlignment="1" applyProtection="1">
      <alignment vertical="center"/>
      <protection locked="0"/>
    </xf>
    <xf numFmtId="0" fontId="43" fillId="0" borderId="1" xfId="0" applyFont="1" applyBorder="1" applyProtection="1">
      <protection locked="0"/>
    </xf>
    <xf numFmtId="1" fontId="44" fillId="0" borderId="1" xfId="0" quotePrefix="1" applyNumberFormat="1" applyFont="1" applyBorder="1" applyAlignment="1" applyProtection="1">
      <alignment horizontal="center" vertical="center"/>
      <protection locked="0"/>
    </xf>
    <xf numFmtId="1" fontId="0" fillId="0" borderId="1" xfId="0" quotePrefix="1" applyNumberFormat="1" applyBorder="1" applyAlignment="1" applyProtection="1">
      <alignment horizontal="center" vertical="center"/>
      <protection locked="0"/>
    </xf>
    <xf numFmtId="1" fontId="45" fillId="0" borderId="1" xfId="0" quotePrefix="1" applyNumberFormat="1" applyFont="1" applyBorder="1" applyAlignment="1" applyProtection="1">
      <alignment horizontal="center" vertical="center"/>
      <protection locked="0"/>
    </xf>
    <xf numFmtId="0" fontId="0" fillId="0" borderId="1" xfId="0" quotePrefix="1" applyBorder="1" applyAlignment="1" applyProtection="1">
      <alignment vertical="center" wrapText="1"/>
      <protection locked="0"/>
    </xf>
    <xf numFmtId="167" fontId="0" fillId="0" borderId="0" xfId="0" applyNumberFormat="1"/>
    <xf numFmtId="0" fontId="17" fillId="2" borderId="16" xfId="0" applyFont="1" applyFill="1" applyBorder="1" applyAlignment="1">
      <alignment horizontal="left" vertical="center"/>
    </xf>
    <xf numFmtId="0" fontId="4" fillId="6" borderId="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1" fillId="5" borderId="19" xfId="0" applyFont="1" applyFill="1" applyBorder="1" applyAlignment="1">
      <alignment horizontal="center" vertical="center"/>
    </xf>
    <xf numFmtId="0" fontId="11" fillId="5" borderId="18" xfId="0" applyFont="1" applyFill="1" applyBorder="1" applyAlignment="1">
      <alignment horizontal="center" vertical="center"/>
    </xf>
    <xf numFmtId="0" fontId="11" fillId="5" borderId="20" xfId="0" applyFont="1" applyFill="1" applyBorder="1" applyAlignment="1">
      <alignment horizontal="center" vertical="center"/>
    </xf>
    <xf numFmtId="0" fontId="11" fillId="5" borderId="18"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9" fillId="2" borderId="16" xfId="0" applyFont="1" applyFill="1" applyBorder="1" applyAlignment="1" applyProtection="1">
      <alignment horizontal="left" vertical="top" wrapText="1"/>
      <protection hidden="1"/>
    </xf>
    <xf numFmtId="0" fontId="9" fillId="2" borderId="0" xfId="0" applyFont="1" applyFill="1" applyAlignment="1" applyProtection="1">
      <alignment horizontal="left" vertical="center" wrapText="1"/>
      <protection hidden="1"/>
    </xf>
    <xf numFmtId="0" fontId="0" fillId="2" borderId="11" xfId="0" applyFill="1" applyBorder="1" applyAlignment="1" applyProtection="1">
      <alignment horizontal="left" vertical="center"/>
      <protection hidden="1"/>
    </xf>
    <xf numFmtId="0" fontId="8" fillId="2" borderId="0" xfId="0" applyFont="1" applyFill="1" applyAlignment="1" applyProtection="1">
      <alignment horizontal="left" vertical="center"/>
      <protection hidden="1"/>
    </xf>
    <xf numFmtId="0" fontId="9" fillId="2" borderId="0" xfId="0" applyFont="1" applyFill="1" applyAlignment="1" applyProtection="1">
      <alignment horizontal="left" vertical="top" wrapText="1"/>
      <protection hidden="1"/>
    </xf>
    <xf numFmtId="0" fontId="7" fillId="5" borderId="1" xfId="0" applyFont="1" applyFill="1" applyBorder="1" applyAlignment="1">
      <alignment horizontal="left" vertical="center" wrapText="1"/>
    </xf>
    <xf numFmtId="0" fontId="12" fillId="4" borderId="1" xfId="0" applyFont="1" applyFill="1" applyBorder="1" applyAlignment="1" applyProtection="1">
      <alignment horizontal="center" vertical="center"/>
      <protection hidden="1"/>
    </xf>
    <xf numFmtId="0" fontId="12" fillId="9" borderId="1" xfId="0" quotePrefix="1" applyFont="1" applyFill="1" applyBorder="1" applyAlignment="1" applyProtection="1">
      <alignment horizontal="center" vertical="center" wrapText="1"/>
      <protection hidden="1"/>
    </xf>
    <xf numFmtId="0" fontId="35" fillId="2" borderId="40" xfId="0" applyFont="1" applyFill="1" applyBorder="1" applyAlignment="1" applyProtection="1">
      <alignment horizontal="center" vertical="center" wrapText="1"/>
      <protection hidden="1"/>
    </xf>
    <xf numFmtId="0" fontId="21" fillId="4" borderId="18" xfId="0" applyFont="1" applyFill="1" applyBorder="1" applyAlignment="1" applyProtection="1">
      <alignment horizontal="center" vertical="center"/>
      <protection hidden="1"/>
    </xf>
    <xf numFmtId="0" fontId="21" fillId="4" borderId="19" xfId="0" applyFont="1" applyFill="1" applyBorder="1" applyAlignment="1" applyProtection="1">
      <alignment horizontal="center" vertical="center"/>
      <protection hidden="1"/>
    </xf>
    <xf numFmtId="0" fontId="21" fillId="4" borderId="20" xfId="0" applyFont="1" applyFill="1" applyBorder="1" applyAlignment="1" applyProtection="1">
      <alignment horizontal="center" vertical="center"/>
      <protection hidden="1"/>
    </xf>
    <xf numFmtId="0" fontId="29" fillId="8" borderId="19" xfId="0" applyFont="1" applyFill="1" applyBorder="1" applyAlignment="1" applyProtection="1">
      <alignment horizontal="left" vertical="center"/>
      <protection hidden="1"/>
    </xf>
    <xf numFmtId="0" fontId="29" fillId="8" borderId="20" xfId="0" applyFont="1" applyFill="1" applyBorder="1" applyAlignment="1" applyProtection="1">
      <alignment horizontal="left" vertical="center"/>
      <protection hidden="1"/>
    </xf>
    <xf numFmtId="0" fontId="35" fillId="2" borderId="53" xfId="0" applyFont="1" applyFill="1" applyBorder="1" applyAlignment="1" applyProtection="1">
      <alignment horizontal="center" vertical="center"/>
      <protection hidden="1"/>
    </xf>
    <xf numFmtId="0" fontId="35" fillId="2" borderId="54" xfId="0" applyFont="1" applyFill="1" applyBorder="1" applyAlignment="1" applyProtection="1">
      <alignment horizontal="center" vertical="center"/>
      <protection hidden="1"/>
    </xf>
    <xf numFmtId="0" fontId="35" fillId="2" borderId="42" xfId="0" applyFont="1" applyFill="1" applyBorder="1" applyAlignment="1" applyProtection="1">
      <alignment horizontal="center" vertical="center"/>
      <protection hidden="1"/>
    </xf>
    <xf numFmtId="0" fontId="35" fillId="2" borderId="4" xfId="0" applyFont="1" applyFill="1" applyBorder="1" applyAlignment="1" applyProtection="1">
      <alignment horizontal="center" vertical="center" wrapText="1"/>
      <protection hidden="1"/>
    </xf>
    <xf numFmtId="0" fontId="35" fillId="2" borderId="55" xfId="0" applyFont="1" applyFill="1" applyBorder="1" applyAlignment="1" applyProtection="1">
      <alignment horizontal="center" vertical="center" wrapText="1"/>
      <protection hidden="1"/>
    </xf>
    <xf numFmtId="169" fontId="35" fillId="2" borderId="1" xfId="0" applyNumberFormat="1" applyFont="1" applyFill="1" applyBorder="1" applyAlignment="1" applyProtection="1">
      <alignment horizontal="center" vertical="center" wrapText="1"/>
      <protection hidden="1"/>
    </xf>
    <xf numFmtId="169" fontId="35" fillId="2" borderId="35" xfId="0" applyNumberFormat="1" applyFont="1" applyFill="1" applyBorder="1" applyAlignment="1" applyProtection="1">
      <alignment horizontal="center" vertical="center" wrapText="1"/>
      <protection hidden="1"/>
    </xf>
    <xf numFmtId="169" fontId="35" fillId="2" borderId="40" xfId="0" applyNumberFormat="1" applyFont="1" applyFill="1" applyBorder="1" applyAlignment="1" applyProtection="1">
      <alignment horizontal="center" vertical="center" wrapText="1"/>
      <protection hidden="1"/>
    </xf>
    <xf numFmtId="169" fontId="35" fillId="2" borderId="33" xfId="0" applyNumberFormat="1" applyFont="1" applyFill="1" applyBorder="1" applyAlignment="1" applyProtection="1">
      <alignment horizontal="center" vertical="center" wrapText="1"/>
      <protection hidden="1"/>
    </xf>
    <xf numFmtId="0" fontId="35" fillId="2" borderId="1" xfId="0" applyFont="1" applyFill="1" applyBorder="1" applyAlignment="1" applyProtection="1">
      <alignment horizontal="center" vertical="center" wrapText="1"/>
      <protection hidden="1"/>
    </xf>
    <xf numFmtId="0" fontId="37" fillId="8" borderId="44" xfId="0" applyFont="1" applyFill="1" applyBorder="1" applyAlignment="1" applyProtection="1">
      <alignment horizontal="center" vertical="center"/>
      <protection hidden="1"/>
    </xf>
    <xf numFmtId="0" fontId="20" fillId="2" borderId="11" xfId="0" applyFont="1" applyFill="1" applyBorder="1" applyAlignment="1" applyProtection="1">
      <alignment horizontal="center" vertical="center"/>
      <protection hidden="1"/>
    </xf>
    <xf numFmtId="0" fontId="20" fillId="2" borderId="12" xfId="0" applyFont="1" applyFill="1" applyBorder="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20" fillId="2" borderId="14" xfId="0" applyFont="1" applyFill="1" applyBorder="1" applyAlignment="1" applyProtection="1">
      <alignment horizontal="center" vertical="center"/>
      <protection hidden="1"/>
    </xf>
    <xf numFmtId="0" fontId="37" fillId="8" borderId="30" xfId="0" applyFont="1" applyFill="1" applyBorder="1" applyAlignment="1" applyProtection="1">
      <alignment horizontal="center" vertical="center"/>
      <protection hidden="1"/>
    </xf>
    <xf numFmtId="169" fontId="35" fillId="2" borderId="1" xfId="0" applyNumberFormat="1" applyFont="1" applyFill="1" applyBorder="1" applyAlignment="1" applyProtection="1">
      <alignment horizontal="center" vertical="center"/>
      <protection hidden="1"/>
    </xf>
    <xf numFmtId="169" fontId="35" fillId="2" borderId="35" xfId="0" applyNumberFormat="1" applyFont="1" applyFill="1" applyBorder="1" applyAlignment="1" applyProtection="1">
      <alignment horizontal="center" vertical="center"/>
      <protection hidden="1"/>
    </xf>
    <xf numFmtId="0" fontId="26" fillId="0" borderId="39" xfId="0" applyFont="1" applyBorder="1" applyAlignment="1" applyProtection="1">
      <alignment horizontal="left" vertical="center" wrapText="1"/>
      <protection hidden="1"/>
    </xf>
    <xf numFmtId="0" fontId="26" fillId="0" borderId="58" xfId="0" applyFont="1" applyBorder="1" applyAlignment="1" applyProtection="1">
      <alignment horizontal="left" vertical="center" wrapText="1"/>
      <protection hidden="1"/>
    </xf>
    <xf numFmtId="0" fontId="26" fillId="0" borderId="59" xfId="0" applyFont="1" applyBorder="1" applyAlignment="1" applyProtection="1">
      <alignment horizontal="left" vertical="center" wrapText="1"/>
      <protection hidden="1"/>
    </xf>
    <xf numFmtId="0" fontId="28" fillId="4" borderId="18" xfId="0" applyFont="1" applyFill="1" applyBorder="1" applyAlignment="1" applyProtection="1">
      <alignment horizontal="right" vertical="center" wrapText="1"/>
      <protection hidden="1"/>
    </xf>
    <xf numFmtId="0" fontId="28" fillId="4" borderId="19" xfId="0" applyFont="1" applyFill="1" applyBorder="1" applyAlignment="1" applyProtection="1">
      <alignment horizontal="right" vertical="center" wrapText="1"/>
      <protection hidden="1"/>
    </xf>
    <xf numFmtId="0" fontId="28" fillId="4" borderId="20" xfId="0" applyFont="1" applyFill="1" applyBorder="1" applyAlignment="1" applyProtection="1">
      <alignment horizontal="right" vertical="center" wrapText="1"/>
      <protection hidden="1"/>
    </xf>
    <xf numFmtId="0" fontId="36" fillId="10" borderId="1" xfId="5" applyFont="1" applyBorder="1" applyAlignment="1" applyProtection="1">
      <alignment horizontal="center" vertical="center"/>
      <protection hidden="1"/>
    </xf>
    <xf numFmtId="0" fontId="37" fillId="11" borderId="1" xfId="0" applyFont="1" applyFill="1" applyBorder="1" applyAlignment="1" applyProtection="1">
      <alignment horizontal="center" vertical="center"/>
      <protection hidden="1"/>
    </xf>
    <xf numFmtId="0" fontId="38" fillId="12" borderId="1" xfId="0" applyFont="1" applyFill="1" applyBorder="1" applyAlignment="1" applyProtection="1">
      <alignment horizontal="center" vertical="center"/>
      <protection hidden="1"/>
    </xf>
    <xf numFmtId="0" fontId="35" fillId="3" borderId="1" xfId="0" applyFont="1" applyFill="1" applyBorder="1" applyAlignment="1" applyProtection="1">
      <alignment horizontal="center" vertical="center"/>
      <protection hidden="1"/>
    </xf>
    <xf numFmtId="0" fontId="37" fillId="13" borderId="1" xfId="0" applyFont="1" applyFill="1" applyBorder="1" applyAlignment="1" applyProtection="1">
      <alignment horizontal="center" vertical="center"/>
      <protection hidden="1"/>
    </xf>
    <xf numFmtId="0" fontId="31" fillId="0" borderId="34" xfId="0" applyFont="1" applyBorder="1" applyAlignment="1" applyProtection="1">
      <alignment horizontal="left" vertical="center"/>
      <protection hidden="1"/>
    </xf>
    <xf numFmtId="0" fontId="31" fillId="0" borderId="1" xfId="0" applyFont="1" applyBorder="1" applyAlignment="1" applyProtection="1">
      <alignment horizontal="left" vertical="center"/>
      <protection hidden="1"/>
    </xf>
    <xf numFmtId="0" fontId="31" fillId="0" borderId="57" xfId="0" applyFont="1" applyBorder="1" applyAlignment="1" applyProtection="1">
      <alignment horizontal="left" vertical="center" wrapText="1"/>
      <protection hidden="1"/>
    </xf>
    <xf numFmtId="0" fontId="31" fillId="0" borderId="56" xfId="0" applyFont="1" applyBorder="1" applyAlignment="1" applyProtection="1">
      <alignment horizontal="left" vertical="center" wrapText="1"/>
      <protection hidden="1"/>
    </xf>
    <xf numFmtId="0" fontId="31" fillId="0" borderId="5" xfId="0" applyFont="1" applyBorder="1" applyAlignment="1" applyProtection="1">
      <alignment horizontal="left" vertical="center" wrapText="1"/>
      <protection hidden="1"/>
    </xf>
    <xf numFmtId="9" fontId="35" fillId="11" borderId="40" xfId="4" applyFont="1" applyFill="1" applyBorder="1" applyAlignment="1" applyProtection="1">
      <alignment horizontal="left" vertical="center"/>
      <protection locked="0"/>
    </xf>
    <xf numFmtId="9" fontId="35" fillId="11" borderId="33" xfId="4" applyFont="1" applyFill="1" applyBorder="1" applyAlignment="1" applyProtection="1">
      <alignment horizontal="left" vertical="center"/>
      <protection locked="0"/>
    </xf>
    <xf numFmtId="0" fontId="37" fillId="11" borderId="1" xfId="0" applyFont="1" applyFill="1" applyBorder="1" applyAlignment="1" applyProtection="1">
      <alignment horizontal="left" vertical="center"/>
      <protection locked="0"/>
    </xf>
    <xf numFmtId="0" fontId="37" fillId="11" borderId="35" xfId="0" applyFont="1" applyFill="1" applyBorder="1" applyAlignment="1" applyProtection="1">
      <alignment horizontal="left" vertical="center"/>
      <protection locked="0"/>
    </xf>
    <xf numFmtId="0" fontId="33" fillId="8" borderId="47" xfId="0" applyFont="1" applyFill="1" applyBorder="1" applyAlignment="1" applyProtection="1">
      <alignment horizontal="left" vertical="center"/>
      <protection hidden="1"/>
    </xf>
    <xf numFmtId="0" fontId="33" fillId="8" borderId="48" xfId="0" applyFont="1" applyFill="1" applyBorder="1" applyAlignment="1" applyProtection="1">
      <alignment horizontal="left" vertical="center"/>
      <protection hidden="1"/>
    </xf>
    <xf numFmtId="0" fontId="33" fillId="8" borderId="45" xfId="0" applyFont="1" applyFill="1" applyBorder="1" applyAlignment="1" applyProtection="1">
      <alignment horizontal="left" vertical="center"/>
      <protection hidden="1"/>
    </xf>
    <xf numFmtId="172" fontId="31" fillId="2" borderId="24" xfId="0" applyNumberFormat="1" applyFont="1" applyFill="1" applyBorder="1" applyAlignment="1" applyProtection="1">
      <alignment horizontal="center" vertical="center"/>
      <protection hidden="1"/>
    </xf>
    <xf numFmtId="172" fontId="31" fillId="2" borderId="25" xfId="0" applyNumberFormat="1" applyFont="1" applyFill="1" applyBorder="1" applyAlignment="1" applyProtection="1">
      <alignment horizontal="center" vertical="center"/>
      <protection hidden="1"/>
    </xf>
    <xf numFmtId="172" fontId="31" fillId="2" borderId="49" xfId="0" applyNumberFormat="1" applyFont="1" applyFill="1" applyBorder="1" applyAlignment="1" applyProtection="1">
      <alignment horizontal="center" vertical="center"/>
      <protection hidden="1"/>
    </xf>
    <xf numFmtId="172" fontId="31" fillId="2" borderId="22" xfId="0" applyNumberFormat="1" applyFont="1" applyFill="1" applyBorder="1" applyAlignment="1" applyProtection="1">
      <alignment horizontal="center" vertical="center"/>
      <protection hidden="1"/>
    </xf>
    <xf numFmtId="172" fontId="31" fillId="2" borderId="0" xfId="0" applyNumberFormat="1" applyFont="1" applyFill="1" applyAlignment="1" applyProtection="1">
      <alignment horizontal="center" vertical="center"/>
      <protection hidden="1"/>
    </xf>
    <xf numFmtId="172" fontId="31" fillId="2" borderId="14" xfId="0" applyNumberFormat="1" applyFont="1" applyFill="1" applyBorder="1" applyAlignment="1" applyProtection="1">
      <alignment horizontal="center" vertical="center"/>
      <protection hidden="1"/>
    </xf>
    <xf numFmtId="172" fontId="31" fillId="2" borderId="50" xfId="0" applyNumberFormat="1" applyFont="1" applyFill="1" applyBorder="1" applyAlignment="1" applyProtection="1">
      <alignment horizontal="center" vertical="center"/>
      <protection hidden="1"/>
    </xf>
    <xf numFmtId="172" fontId="31" fillId="2" borderId="16" xfId="0" applyNumberFormat="1" applyFont="1" applyFill="1" applyBorder="1" applyAlignment="1" applyProtection="1">
      <alignment horizontal="center" vertical="center"/>
      <protection hidden="1"/>
    </xf>
    <xf numFmtId="172" fontId="31" fillId="2" borderId="17" xfId="0" applyNumberFormat="1" applyFont="1" applyFill="1" applyBorder="1" applyAlignment="1" applyProtection="1">
      <alignment horizontal="center" vertical="center"/>
      <protection hidden="1"/>
    </xf>
    <xf numFmtId="0" fontId="33" fillId="8" borderId="29" xfId="0" applyFont="1" applyFill="1" applyBorder="1" applyAlignment="1" applyProtection="1">
      <alignment horizontal="left" vertical="center"/>
      <protection hidden="1"/>
    </xf>
    <xf numFmtId="0" fontId="33" fillId="8" borderId="44" xfId="0" applyFont="1" applyFill="1" applyBorder="1" applyAlignment="1" applyProtection="1">
      <alignment horizontal="left" vertical="center"/>
      <protection hidden="1"/>
    </xf>
    <xf numFmtId="0" fontId="33" fillId="8" borderId="30" xfId="0" applyFont="1" applyFill="1" applyBorder="1" applyAlignment="1" applyProtection="1">
      <alignment horizontal="left" vertical="center"/>
      <protection hidden="1"/>
    </xf>
    <xf numFmtId="0" fontId="37" fillId="0" borderId="1" xfId="0" applyFont="1" applyBorder="1" applyAlignment="1" applyProtection="1">
      <alignment horizontal="center" vertical="center"/>
      <protection hidden="1"/>
    </xf>
  </cellXfs>
  <cellStyles count="6">
    <cellStyle name="Comma" xfId="1" builtinId="3"/>
    <cellStyle name="Comma 2" xfId="2" xr:uid="{00000000-0005-0000-0000-000001000000}"/>
    <cellStyle name="Hyperlink" xfId="3" builtinId="8"/>
    <cellStyle name="Input" xfId="5" builtinId="20"/>
    <cellStyle name="Normal" xfId="0" builtinId="0"/>
    <cellStyle name="Percent" xfId="4" builtinId="5"/>
  </cellStyles>
  <dxfs count="84">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34" formatCode="_-&quot;R&quot;* #,##0.00_-;\-&quot;R&quot;* #,##0.00_-;_-&quot;R&quot;* &quot;-&quot;??_-;_-@_-"/>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border diagonalUp="0" diagonalDown="0">
        <left style="medium">
          <color indexed="64"/>
        </left>
      </border>
      <protection locked="1" hidden="1"/>
    </dxf>
    <dxf>
      <font>
        <b val="0"/>
        <i val="0"/>
        <strike val="0"/>
        <condense val="0"/>
        <extend val="0"/>
        <outline val="0"/>
        <shadow val="0"/>
        <u val="none"/>
        <vertAlign val="baseline"/>
        <sz val="10"/>
        <color theme="1"/>
        <name val="Calibri"/>
        <family val="2"/>
        <scheme val="minor"/>
      </font>
      <numFmt numFmtId="34" formatCode="_-&quot;R&quot;* #,##0.00_-;\-&quot;R&quot;* #,##0.00_-;_-&quot;R&quot;* &quot;-&quot;??_-;_-@_-"/>
      <protection locked="1" hidden="1"/>
    </dxf>
    <dxf>
      <font>
        <b val="0"/>
        <i val="0"/>
        <strike val="0"/>
        <condense val="0"/>
        <extend val="0"/>
        <outline val="0"/>
        <shadow val="0"/>
        <u val="none"/>
        <vertAlign val="baseline"/>
        <sz val="10"/>
        <color theme="1"/>
        <name val="Calibri"/>
        <family val="2"/>
        <scheme val="minor"/>
      </font>
      <numFmt numFmtId="34" formatCode="_-&quot;R&quot;* #,##0.00_-;\-&quot;R&quot;* #,##0.00_-;_-&quot;R&quot;* &quot;-&quot;??_-;_-@_-"/>
      <protection locked="1" hidden="1"/>
    </dxf>
    <dxf>
      <font>
        <b val="0"/>
        <i val="0"/>
        <strike val="0"/>
        <condense val="0"/>
        <extend val="0"/>
        <outline val="0"/>
        <shadow val="0"/>
        <u val="none"/>
        <vertAlign val="baseline"/>
        <sz val="10"/>
        <color theme="1"/>
        <name val="Calibri"/>
        <family val="2"/>
        <scheme val="minor"/>
      </font>
      <numFmt numFmtId="168" formatCode="0.0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168" formatCode="0.000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175" formatCode="dd/mm/yyyy"/>
      <protection locked="1" hidden="1"/>
    </dxf>
    <dxf>
      <font>
        <b val="0"/>
        <i val="0"/>
        <strike val="0"/>
        <condense val="0"/>
        <extend val="0"/>
        <outline val="0"/>
        <shadow val="0"/>
        <u val="none"/>
        <vertAlign val="baseline"/>
        <sz val="10"/>
        <color theme="1"/>
        <name val="Calibri"/>
        <family val="2"/>
        <scheme val="minor"/>
      </font>
      <protection locked="1" hidden="1"/>
    </dxf>
    <dxf>
      <font>
        <b val="0"/>
        <i val="0"/>
        <strike val="0"/>
        <condense val="0"/>
        <extend val="0"/>
        <outline val="0"/>
        <shadow val="0"/>
        <u val="none"/>
        <vertAlign val="baseline"/>
        <sz val="10"/>
        <color theme="1"/>
        <name val="Calibri"/>
        <family val="2"/>
        <scheme val="minor"/>
      </font>
      <protection locked="1" hidden="1"/>
    </dxf>
    <dxf>
      <font>
        <b val="0"/>
        <i val="0"/>
        <strike val="0"/>
        <condense val="0"/>
        <extend val="0"/>
        <outline val="0"/>
        <shadow val="0"/>
        <u val="none"/>
        <vertAlign val="baseline"/>
        <sz val="10"/>
        <color theme="1"/>
        <name val="Calibri"/>
        <family val="2"/>
        <scheme val="minor"/>
      </font>
      <numFmt numFmtId="175" formatCode="dd/mm/yyyy"/>
      <protection locked="1" hidden="1"/>
    </dxf>
    <dxf>
      <font>
        <b val="0"/>
        <i val="0"/>
        <strike val="0"/>
        <condense val="0"/>
        <extend val="0"/>
        <outline val="0"/>
        <shadow val="0"/>
        <u val="none"/>
        <vertAlign val="baseline"/>
        <sz val="10"/>
        <color theme="1"/>
        <name val="Calibri"/>
        <family val="2"/>
        <scheme val="minor"/>
      </font>
      <alignment horizontal="right"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1" formatCode="0"/>
      <alignment horizontal="right"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1" formatCode="0"/>
      <alignment horizontal="right"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alignment horizontal="right" vertical="bottom" textRotation="0" wrapText="0" indent="0" justifyLastLine="0" shrinkToFit="0" readingOrder="0"/>
      <protection locked="1" hidden="1"/>
    </dxf>
    <dxf>
      <border outline="0">
        <top style="thin">
          <color indexed="64"/>
        </top>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protection locked="1" hidden="1"/>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1"/>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solid">
          <fgColor indexed="64"/>
          <bgColor rgb="FFFFFF00"/>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strike val="0"/>
        <outline val="0"/>
        <shadow val="0"/>
        <u val="none"/>
        <vertAlign val="baseline"/>
        <sz val="11"/>
        <color rgb="FF0000FF"/>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Calibri"/>
        <family val="2"/>
        <scheme val="minor"/>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19" formatCode="yyyy/mm/dd"/>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19" formatCode="yyyy/mm/dd"/>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color rgb="FF0000FF"/>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Calibri"/>
        <family val="2"/>
        <scheme val="minor"/>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strike val="0"/>
        <outline val="0"/>
        <shadow val="0"/>
        <vertAlign val="baseline"/>
        <sz val="11"/>
        <name val="Calibri"/>
        <family val="2"/>
        <scheme val="minor"/>
      </font>
      <numFmt numFmtId="1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1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Calibri"/>
        <family val="2"/>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strike val="0"/>
        <outline val="0"/>
        <shadow val="0"/>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numFmt numFmtId="1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vertAlign val="baseline"/>
        <sz val="11"/>
        <name val="Calibri"/>
        <family val="2"/>
        <scheme val="minor"/>
      </font>
      <fill>
        <patternFill patternType="none">
          <fgColor indexed="64"/>
          <bgColor auto="1"/>
        </patternFill>
      </fill>
      <alignment vertical="center" textRotation="0" indent="0" justifyLastLine="0" shrinkToFit="0"/>
      <border diagonalUp="0" diagonalDown="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vertical="center" textRotation="0" indent="0" justifyLastLine="0" shrinkToFit="0"/>
    </dxf>
    <dxf>
      <border>
        <bottom style="thin">
          <color indexed="64"/>
        </bottom>
      </border>
    </dxf>
    <dxf>
      <font>
        <b/>
        <i val="0"/>
        <strike val="0"/>
        <condense val="0"/>
        <extend val="0"/>
        <outline val="0"/>
        <shadow val="0"/>
        <u val="none"/>
        <vertAlign val="baseline"/>
        <sz val="13"/>
        <color theme="0"/>
        <name val="Calibri"/>
        <family val="2"/>
        <scheme val="minor"/>
      </font>
      <fill>
        <patternFill patternType="solid">
          <fgColor rgb="FFB0C4DE"/>
          <bgColor theme="5" tint="-0.249977111117893"/>
        </patternFill>
      </fill>
      <alignment horizontal="center" vertical="center" textRotation="0" wrapText="1" indent="0" justifyLastLine="0" shrinkToFit="0" readingOrder="1"/>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person displayName="Gavina Balasundran" id="{87B2866A-0FC1-47A3-BA94-2DE3AF1CB2DB}" userId="1056acd6c37fc52d" providerId="Windows Live"/>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4:AW101" totalsRowShown="0" headerRowDxfId="83" dataDxfId="81" headerRowBorderDxfId="82" tableBorderDxfId="80" totalsRowBorderDxfId="79">
  <tableColumns count="49">
    <tableColumn id="49" xr3:uid="{1368A87B-8FE3-4B21-8285-6A1221D867A9}" name="Policy Number" dataDxfId="78"/>
    <tableColumn id="3" xr3:uid="{00000000-0010-0000-0000-000003000000}" name="Member Type" dataDxfId="77"/>
    <tableColumn id="4" xr3:uid="{00000000-0010-0000-0000-000004000000}" name="First Name" dataDxfId="76"/>
    <tableColumn id="5" xr3:uid="{00000000-0010-0000-0000-000005000000}" name="Surname" dataDxfId="75"/>
    <tableColumn id="6" xr3:uid="{00000000-0010-0000-0000-000006000000}" name="Main Member Link ID" dataDxfId="74"/>
    <tableColumn id="7" xr3:uid="{00000000-0010-0000-0000-000007000000}" name="ID Number" dataDxfId="73"/>
    <tableColumn id="8" xr3:uid="{00000000-0010-0000-0000-000008000000}" name="Passport Number" dataDxfId="72"/>
    <tableColumn id="9" xr3:uid="{00000000-0010-0000-0000-000009000000}" name="Date Of Birth" dataDxfId="71"/>
    <tableColumn id="35" xr3:uid="{00000000-0010-0000-0000-000023000000}" name="Gender" dataDxfId="70"/>
    <tableColumn id="10" xr3:uid="{00000000-0010-0000-0000-00000A000000}" name="Benefit Name" dataDxfId="69">
      <calculatedColumnFormula>IF(_xlfn.XLOOKUP(B5,DropdownList!$C$2:$C$8,DropdownList!$B$2:$B$8,0)=0,"",_xlfn.XLOOKUP(B5,DropdownList!$C$2:$C$8,DropdownList!$B$2:$B$8,0))</calculatedColumnFormula>
    </tableColumn>
    <tableColumn id="28" xr3:uid="{00000000-0010-0000-0000-00001C000000}" name="Commencement Date" dataDxfId="68"/>
    <tableColumn id="37" xr3:uid="{00000000-0010-0000-0000-000025000000}" name="Affordability Status" dataDxfId="67"/>
    <tableColumn id="34" xr3:uid="{00000000-0010-0000-0000-000022000000}" name="Premium" dataDxfId="66">
      <calculatedColumnFormula>IF(Table13[[#This Row],[Commencement Date]]="","",IF(Table13[[#This Row],[Member Type]]="Main Member",Table13[[#This Row],[Cover Amount]]/10000* HLOOKUP(VLOOKUP(DATEDIF(Table13[[#This Row],[Date Of Birth]],Table13[[#This Row],[Commencement Date]],"Y")+1,'Rates Lookup'!$B$5:$D$14,3,1),'Rates Lookup'!$K$3:$S$9,3)+HLOOKUP(VLOOKUP(DATEDIF(Table13[[#This Row],[Date Of Birth]],Table13[[#This Row],[Commencement Date]],"Y")+1,'Rates Lookup'!$B$5:$D$14,3,1),'Rates Lookup'!$K$3:$S$9,2),
IF(Table13[[#This Row],[Member Type]]="Spouse",Table13[[#This Row],[Cover Amount]]/10000*HLOOKUP(VLOOKUP(DATEDIF(Table13[[#This Row],[Date Of Birth]],Table13[[#This Row],[Commencement Date]],"Y")+1,'Rates Lookup'!$B$19:$D$28,3,1),'Rates Lookup'!$K$3:$S$9,4),
IF(Table13[[#This Row],[Member Type]]="Child",IF(COUNTIF($B$5:B5,"Child")&gt;1,0,Table13[[#This Row],[Cover Amount]]/10000*HLOOKUP(VLOOKUP(DATEDIF(Table13[[#This Row],[Date Of Birth]],Table13[[#This Row],[Commencement Date]],"Y")+1,'Rates Lookup'!$B$62:$D$62,3,1),'Rates Lookup'!$K$3:$S$9,7)),
IF(Table13[[#This Row],[Member Type]]="Parent",Table13[[#This Row],[Cover Amount]]/10000*HLOOKUP(VLOOKUP(DATEDIF(Table13[[#This Row],[Date Of Birth]],Table13[[#This Row],[Commencement Date]],"Y")+1,'Rates Lookup'!$B$48:$D$57,3,1),'Rates Lookup'!$K$3:$S$9,6),
IF(Table13[[#This Row],[Member Type]]="Extended",Table13[[#This Row],[Cover Amount]]/10000*HLOOKUP(VLOOKUP(DATEDIF(Table13[[#This Row],[Date Of Birth]],Table13[[#This Row],[Commencement Date]],"Y")+1,'Rates Lookup'!$B$33:$D$43,3,1),'Rates Lookup'!$K$3:$S$9,5),""))))))</calculatedColumnFormula>
    </tableColumn>
    <tableColumn id="33" xr3:uid="{00000000-0010-0000-0000-000021000000}" name="Cover Amount" dataDxfId="65"/>
    <tableColumn id="32" xr3:uid="{00000000-0010-0000-0000-000020000000}" name="Previous Insurer " dataDxfId="64"/>
    <tableColumn id="31" xr3:uid="{00000000-0010-0000-0000-00001F000000}" name="Previous Insurer Policy Number" dataDxfId="63"/>
    <tableColumn id="30" xr3:uid="{00000000-0010-0000-0000-00001E000000}" name="Previous Insurer Join Date" dataDxfId="62"/>
    <tableColumn id="29" xr3:uid="{00000000-0010-0000-0000-00001D000000}" name="Previous Insurer Cancellation Date" dataDxfId="61"/>
    <tableColumn id="36" xr3:uid="{00000000-0010-0000-0000-000024000000}" name="Previous Cover Amount" dataDxfId="60"/>
    <tableColumn id="11" xr3:uid="{00000000-0010-0000-0000-00000B000000}" name="Address 1 " dataDxfId="59"/>
    <tableColumn id="12" xr3:uid="{00000000-0010-0000-0000-00000C000000}" name="Address 2" dataDxfId="58"/>
    <tableColumn id="13" xr3:uid="{00000000-0010-0000-0000-00000D000000}" name="City" dataDxfId="57"/>
    <tableColumn id="14" xr3:uid="{00000000-0010-0000-0000-00000E000000}" name="Province" dataDxfId="56"/>
    <tableColumn id="15" xr3:uid="{00000000-0010-0000-0000-00000F000000}" name="Country" dataDxfId="55"/>
    <tableColumn id="16" xr3:uid="{00000000-0010-0000-0000-000010000000}" name="Area Code" dataDxfId="54"/>
    <tableColumn id="17" xr3:uid="{00000000-0010-0000-0000-000011000000}" name="Postal Address 1" dataDxfId="53"/>
    <tableColumn id="18" xr3:uid="{00000000-0010-0000-0000-000012000000}" name="Postal Address 2" dataDxfId="52"/>
    <tableColumn id="19" xr3:uid="{00000000-0010-0000-0000-000013000000}" name="Postal City" dataDxfId="51"/>
    <tableColumn id="20" xr3:uid="{00000000-0010-0000-0000-000014000000}" name="Postal Province" dataDxfId="50"/>
    <tableColumn id="21" xr3:uid="{00000000-0010-0000-0000-000015000000}" name="Postal Country" dataDxfId="49"/>
    <tableColumn id="22" xr3:uid="{00000000-0010-0000-0000-000016000000}" name="Postal Code" dataDxfId="48"/>
    <tableColumn id="23" xr3:uid="{00000000-0010-0000-0000-000017000000}" name="Telephone" dataDxfId="47"/>
    <tableColumn id="24" xr3:uid="{00000000-0010-0000-0000-000018000000}" name="Mobile" dataDxfId="46"/>
    <tableColumn id="25" xr3:uid="{00000000-0010-0000-0000-000019000000}" name="Email" dataDxfId="45"/>
    <tableColumn id="26" xr3:uid="{00000000-0010-0000-0000-00001A000000}" name="Preferred Method Of Communication" dataDxfId="44"/>
    <tableColumn id="2" xr3:uid="{00000000-0010-0000-0000-000002000000}" name="Product Option" dataDxfId="43"/>
    <tableColumn id="27" xr3:uid="{00000000-0010-0000-0000-00001B000000}" name="Annual Increase Option" dataDxfId="42"/>
    <tableColumn id="38" xr3:uid="{00000000-0010-0000-0000-000026000000}" name="Increase Month" dataDxfId="41">
      <calculatedColumnFormula>IF(OR(Table13[[#This Row],[Annual Increase Option]]="No increase",Table13[[#This Row],[Annual Increase Option]]=""),"",_xlfn.XLOOKUP(MONTH(Table13[[#This Row],[Commencement Date]]),DropdownList!$A$19:$A$30,DropdownList!$B$19:$B$30,0))</calculatedColumnFormula>
    </tableColumn>
    <tableColumn id="47" xr3:uid="{00000000-0010-0000-0000-00002F000000}" name="Employer / Payroll Code" dataDxfId="40"/>
    <tableColumn id="39" xr3:uid="{00000000-0010-0000-0000-000027000000}" name="Employer" dataDxfId="39"/>
    <tableColumn id="40" xr3:uid="{00000000-0010-0000-0000-000028000000}" name="PERSAL Number" dataDxfId="38"/>
    <tableColumn id="41" xr3:uid="{00000000-0010-0000-0000-000029000000}" name="Department" dataDxfId="37"/>
    <tableColumn id="48" xr3:uid="{00000000-0010-0000-0000-000030000000}" name="Payment Method" dataDxfId="36"/>
    <tableColumn id="42" xr3:uid="{00000000-0010-0000-0000-00002A000000}" name="Bank" dataDxfId="35"/>
    <tableColumn id="43" xr3:uid="{00000000-0010-0000-0000-00002B000000}" name="Branch Code" dataDxfId="34"/>
    <tableColumn id="44" xr3:uid="{00000000-0010-0000-0000-00002C000000}" name="Account#" dataDxfId="33"/>
    <tableColumn id="45" xr3:uid="{00000000-0010-0000-0000-00002D000000}" name="Account Type" dataDxfId="32"/>
    <tableColumn id="46" xr3:uid="{00000000-0010-0000-0000-00002E000000}" name="Debit Order Day" dataDxfId="31"/>
    <tableColumn id="1" xr3:uid="{00000000-0010-0000-0000-000001000000}" name="Representative ID"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AC8FAB-6373-4C0C-BF03-607C34B3CF7B}" name="Table3" displayName="Table3" ref="B2:U98" totalsRowShown="0" headerRowDxfId="29" dataDxfId="27" headerRowBorderDxfId="28" tableBorderDxfId="26">
  <autoFilter ref="B2:U98" xr:uid="{AAAC8FAB-6373-4C0C-BF03-607C34B3CF7B}"/>
  <tableColumns count="20">
    <tableColumn id="1" xr3:uid="{52A3D389-975C-4511-82D3-8A1D86F15383}" name="Member Type" dataDxfId="25">
      <calculatedColumnFormula>Members!B5</calculatedColumnFormula>
    </tableColumn>
    <tableColumn id="2" xr3:uid="{33BC57E7-71C8-4003-AD42-387C88A60C06}" name="Main Member Link ID" dataDxfId="24">
      <calculatedColumnFormula>Members!E5</calculatedColumnFormula>
    </tableColumn>
    <tableColumn id="3" xr3:uid="{49469535-89E4-4E99-9165-593A1A1DA34E}" name="ID Number" dataDxfId="23">
      <calculatedColumnFormula>Members!F5</calculatedColumnFormula>
    </tableColumn>
    <tableColumn id="4" xr3:uid="{3B4F617E-B876-4692-AFE8-D805E2200D8C}" name="Passport Number" dataDxfId="22">
      <calculatedColumnFormula>Members!G5</calculatedColumnFormula>
    </tableColumn>
    <tableColumn id="5" xr3:uid="{09004519-3789-4B0D-8DFA-436DF505D308}" name="Date Of Birth" dataDxfId="21">
      <calculatedColumnFormula>Members!H5</calculatedColumnFormula>
    </tableColumn>
    <tableColumn id="6" xr3:uid="{BCB164B5-8BD4-4C39-9663-447A81B48FB9}" name="Gender" dataDxfId="20">
      <calculatedColumnFormula>Members!I5</calculatedColumnFormula>
    </tableColumn>
    <tableColumn id="7" xr3:uid="{4CDE41C8-8D6D-4646-814A-1998595DF637}" name="Benefit Name" dataDxfId="19">
      <calculatedColumnFormula>Members!J5</calculatedColumnFormula>
    </tableColumn>
    <tableColumn id="8" xr3:uid="{3BBE1B57-A75F-4E0D-84CD-78C09BF82AB2}" name="Commencement Date" dataDxfId="18">
      <calculatedColumnFormula>Members!K5</calculatedColumnFormula>
    </tableColumn>
    <tableColumn id="9" xr3:uid="{AB99148B-5684-4DF1-ABFD-A9E977BDDC7A}" name="Age" dataDxfId="17">
      <calculatedColumnFormula>IFERROR(DATEDIF(F3,I3,"Y")+1,0)</calculatedColumnFormula>
    </tableColumn>
    <tableColumn id="10" xr3:uid="{2E7D605B-0792-4CDC-9F12-4C3449E5E8E8}" name="Rate per 10,000" dataDxfId="16">
      <calculatedColumnFormula>IFERROR(IF(OR(B3=0,Table3[[#This Row],[Age]]=0,Table3[[#This Row],[Member Type]]="Beneficiary"),0,
IF(B3="Main Member",VLOOKUP(J3,Rate_MM,5),
IF(B3="Spouse",VLOOKUP(J3,Rate_SP,5),
IF(B3="Extended",VLOOKUP(J3,Rate_EXT,5),
IF(B3="Parent",VLOOKUP(J3,Rate_PAR,5),
IF(B3="Child",VLOOKUP(J3,Rate_CH,5))))))),0)</calculatedColumnFormula>
    </tableColumn>
    <tableColumn id="11" xr3:uid="{B2C427E4-7DED-4D10-A045-FF5240077026}" name="Fixed Rate" dataDxfId="15">
      <calculatedColumnFormula>IFERROR(IF(OR(B3=0,Table3[[#This Row],[Age]]=0,Table3[[#This Row],[Member Type]]="Beneficiary"),0,
IF(B3="Main Member",VLOOKUP(J3,Rate_MM,4),
IF(B3="Spouse",VLOOKUP(J3,Rate_SP,4),
IF(B3="Extended",VLOOKUP(J3,Rate_EXT,4),
IF(B3="Parent",VLOOKUP(J3,Rate_PAR,4),
IF(B3="Child",VLOOKUP(J3,Rate_CH,4))))))),0)</calculatedColumnFormula>
    </tableColumn>
    <tableColumn id="12" xr3:uid="{BFC93C43-7DEF-4A51-B4E1-F58A451A6C50}" name="Cover Amount" dataDxfId="14" dataCellStyle="Comma">
      <calculatedColumnFormula>Members!N5</calculatedColumnFormula>
    </tableColumn>
    <tableColumn id="13" xr3:uid="{DD56A793-4ABE-4EC0-B11D-1860C1BD362A}" name="Premium to Show" dataDxfId="13" dataCellStyle="Comma">
      <calculatedColumnFormula>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calculatedColumnFormula>
    </tableColumn>
    <tableColumn id="14" xr3:uid="{8EF44F6B-BA5C-49DB-8BE2-935DBAC7937F}" name="Indicative Max Sum Cover for each Member Type" dataDxfId="12">
      <calculatedColumnFormula>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calculatedColumnFormula>
    </tableColumn>
    <tableColumn id="15" xr3:uid="{B5472548-96D9-4CB9-949F-3147F6C2A9F0}" name="Count of Member Type" dataDxfId="11"/>
    <tableColumn id="16" xr3:uid="{CE03A066-054F-416E-98CE-A9907EB27EC7}" name="Error Message to Show" dataDxfId="10">
      <calculatedColumnFormula>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calculatedColumnFormula>
    </tableColumn>
    <tableColumn id="18" xr3:uid="{6CBF1ACB-D2FD-421A-9EE0-AD05237F1063}" name="Each Child Premium" dataDxfId="9">
      <calculatedColumnFormula>IF(Table3[[#This Row],[Member Type]]="Child",Table3[[#This Row],[Rate per 10,000]]/10000*Table3[[#This Row],[Cover Amount]],0)</calculatedColumnFormula>
    </tableColumn>
    <tableColumn id="19" xr3:uid="{914F34D2-51FF-4BC4-9F1D-8CA6BFE5FA4F}" name="No. of Child with same Cover Amont under a policy" dataDxfId="8">
      <calculatedColumnFormula>IF(Table3[[#This Row],[Member Type]]="Child",COUNTIFS(Table3[Each Child Premium],Table3[[#This Row],[Each Child Premium]],Table3[Main Member Link ID],Table3[[#This Row],[Main Member Link ID]]),0)</calculatedColumnFormula>
    </tableColumn>
    <tableColumn id="20" xr3:uid="{386D620E-E889-46D3-A84F-F53F0E4EC11D}" name="Is Child Sum Cover Highest?" dataDxfId="7" dataCellStyle="Comma">
      <calculatedColumnFormula>IF(Table3[[#This Row],[No. of Child with same Cover Amont under a policy]]=0,"",IF(Table3[[#This Row],[Each Child Premium]]&gt;=_xlfn.MAXIFS(Table3[Each Child Premium],Table3[Main Member Link ID],Table3[[#This Row],[Main Member Link ID]]),"Yes",""))</calculatedColumnFormula>
    </tableColumn>
    <tableColumn id="17" xr3:uid="{40E2E5C0-43AA-4F7D-BE9E-A131EC6D6C11}" name="Allocation of Child Premium" dataDxfId="6" dataCellStyle="Percent">
      <calculatedColumnFormula>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policy]]&gt;1,J3=_xlfn.MINIFS(Table3[Age],Table3[Member Type],"Child",Table3[Main Member Link ID],Table3[[#This Row],[Main Member Link ID]],Table3[No. of Child with same Cover Amont under a policy],Table3[[#This Row],[No. of Child with same Cover Amont under a policy]])),1,0)),0)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6-01-16T13:13:55.58" personId="{87B2866A-0FC1-47A3-BA94-2DE3AF1CB2DB}" id="{FFA05635-2AFC-484F-8045-5E3530889F77}">
    <text>Highest Child Sum Cover &amp; Youngest Age in a policy (if more than 1)</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AD09-DEE9-4E33-9EDE-D2375AAEAC54}">
  <sheetPr codeName="Sheet1"/>
  <dimension ref="A1:Y9"/>
  <sheetViews>
    <sheetView topLeftCell="A5" workbookViewId="0">
      <selection activeCell="D7" sqref="D7:V7"/>
    </sheetView>
  </sheetViews>
  <sheetFormatPr defaultColWidth="0" defaultRowHeight="14.4" zeroHeight="1" x14ac:dyDescent="0.3"/>
  <cols>
    <col min="1" max="3" width="2.77734375" style="9" customWidth="1"/>
    <col min="4" max="22" width="8.88671875" style="9" customWidth="1"/>
    <col min="23" max="25" width="2.77734375" style="9" customWidth="1"/>
    <col min="26" max="16384" width="8.88671875" style="9" hidden="1"/>
  </cols>
  <sheetData>
    <row r="1" spans="3:23" ht="15" thickBot="1" x14ac:dyDescent="0.35"/>
    <row r="2" spans="3:23" ht="49.95" customHeight="1" x14ac:dyDescent="0.3">
      <c r="C2" s="10"/>
      <c r="D2" s="220" t="e" vm="1">
        <v>#VALUE!</v>
      </c>
      <c r="E2" s="220"/>
      <c r="F2" s="220"/>
      <c r="G2" s="11"/>
      <c r="H2" s="11"/>
      <c r="I2" s="11"/>
      <c r="J2" s="11"/>
      <c r="K2" s="11"/>
      <c r="L2" s="11"/>
      <c r="M2" s="11"/>
      <c r="N2" s="11"/>
      <c r="O2" s="11"/>
      <c r="P2" s="11"/>
      <c r="Q2" s="11"/>
      <c r="R2" s="11"/>
      <c r="S2" s="11"/>
      <c r="T2" s="11"/>
      <c r="U2" s="11"/>
      <c r="V2" s="11"/>
      <c r="W2" s="12"/>
    </row>
    <row r="3" spans="3:23" ht="19.8" x14ac:dyDescent="0.3">
      <c r="C3" s="13"/>
      <c r="D3" s="221" t="s">
        <v>158</v>
      </c>
      <c r="E3" s="221"/>
      <c r="F3" s="221"/>
      <c r="G3" s="221"/>
      <c r="H3" s="221"/>
      <c r="I3" s="221"/>
      <c r="J3" s="221"/>
      <c r="K3" s="221"/>
      <c r="L3" s="221"/>
      <c r="M3" s="221"/>
      <c r="N3" s="221"/>
      <c r="O3" s="221"/>
      <c r="P3" s="221"/>
      <c r="Q3" s="221"/>
      <c r="R3" s="221"/>
      <c r="S3" s="221"/>
      <c r="T3" s="221"/>
      <c r="U3" s="221"/>
      <c r="V3" s="221"/>
      <c r="W3" s="14"/>
    </row>
    <row r="4" spans="3:23" ht="150" customHeight="1" x14ac:dyDescent="0.3">
      <c r="C4" s="13"/>
      <c r="D4" s="222" t="s">
        <v>191</v>
      </c>
      <c r="E4" s="222"/>
      <c r="F4" s="222"/>
      <c r="G4" s="222"/>
      <c r="H4" s="222"/>
      <c r="I4" s="222"/>
      <c r="J4" s="222"/>
      <c r="K4" s="222"/>
      <c r="L4" s="222"/>
      <c r="M4" s="222"/>
      <c r="N4" s="222"/>
      <c r="O4" s="222"/>
      <c r="P4" s="222"/>
      <c r="Q4" s="222"/>
      <c r="R4" s="222"/>
      <c r="S4" s="222"/>
      <c r="T4" s="222"/>
      <c r="U4" s="222"/>
      <c r="V4" s="222"/>
      <c r="W4" s="14"/>
    </row>
    <row r="5" spans="3:23" ht="166.2" customHeight="1" x14ac:dyDescent="0.3">
      <c r="C5" s="13"/>
      <c r="D5" s="222"/>
      <c r="E5" s="222"/>
      <c r="F5" s="222"/>
      <c r="G5" s="222"/>
      <c r="H5" s="222"/>
      <c r="I5" s="222"/>
      <c r="J5" s="222"/>
      <c r="K5" s="222"/>
      <c r="L5" s="222"/>
      <c r="M5" s="222"/>
      <c r="N5" s="222"/>
      <c r="O5" s="222"/>
      <c r="P5" s="222"/>
      <c r="Q5" s="222"/>
      <c r="R5" s="222"/>
      <c r="S5" s="222"/>
      <c r="T5" s="222"/>
      <c r="U5" s="222"/>
      <c r="V5" s="222"/>
      <c r="W5" s="14"/>
    </row>
    <row r="6" spans="3:23" ht="25.2" customHeight="1" x14ac:dyDescent="0.3">
      <c r="C6" s="13"/>
      <c r="D6" s="221" t="s">
        <v>181</v>
      </c>
      <c r="E6" s="221"/>
      <c r="F6" s="221"/>
      <c r="G6" s="221"/>
      <c r="H6" s="221"/>
      <c r="I6" s="221"/>
      <c r="J6" s="221"/>
      <c r="K6" s="221"/>
      <c r="L6" s="221"/>
      <c r="M6" s="221"/>
      <c r="N6" s="221"/>
      <c r="O6" s="221"/>
      <c r="P6" s="221"/>
      <c r="Q6" s="221"/>
      <c r="R6" s="221"/>
      <c r="S6" s="221"/>
      <c r="T6" s="221"/>
      <c r="U6" s="221"/>
      <c r="V6" s="221"/>
      <c r="W6" s="14"/>
    </row>
    <row r="7" spans="3:23" ht="351.6" customHeight="1" x14ac:dyDescent="0.3">
      <c r="C7" s="13"/>
      <c r="D7" s="219" t="s">
        <v>257</v>
      </c>
      <c r="E7" s="219"/>
      <c r="F7" s="219"/>
      <c r="G7" s="219"/>
      <c r="H7" s="219"/>
      <c r="I7" s="219"/>
      <c r="J7" s="219"/>
      <c r="K7" s="219"/>
      <c r="L7" s="219"/>
      <c r="M7" s="219"/>
      <c r="N7" s="219"/>
      <c r="O7" s="219"/>
      <c r="P7" s="219"/>
      <c r="Q7" s="219"/>
      <c r="R7" s="219"/>
      <c r="S7" s="219"/>
      <c r="T7" s="219"/>
      <c r="U7" s="219"/>
      <c r="V7" s="219"/>
      <c r="W7" s="14"/>
    </row>
    <row r="8" spans="3:23" ht="15" thickBot="1" x14ac:dyDescent="0.35">
      <c r="C8" s="15"/>
      <c r="D8" s="218"/>
      <c r="E8" s="218"/>
      <c r="F8" s="218"/>
      <c r="G8" s="218"/>
      <c r="H8" s="218"/>
      <c r="I8" s="218"/>
      <c r="J8" s="218"/>
      <c r="K8" s="218"/>
      <c r="L8" s="218"/>
      <c r="M8" s="218"/>
      <c r="N8" s="218"/>
      <c r="O8" s="218"/>
      <c r="P8" s="218"/>
      <c r="Q8" s="218"/>
      <c r="R8" s="218"/>
      <c r="S8" s="218"/>
      <c r="T8" s="218"/>
      <c r="U8" s="218"/>
      <c r="V8" s="218"/>
      <c r="W8" s="16"/>
    </row>
    <row r="9" spans="3:23" x14ac:dyDescent="0.3"/>
  </sheetData>
  <sheetProtection algorithmName="SHA-512" hashValue="4YeNqK4hV8EA0UnAUzyrlg3UjsnHUc9xikJqbJIPBPNCKIvo/Fim1ViNmPRfuvPo3SdIv9qew0WNTCkE/TwLuA==" saltValue="9XCnZhj5ia1SO24I+QUFZQ==" spinCount="100000" sheet="1" objects="1" scenarios="1"/>
  <mergeCells count="6">
    <mergeCell ref="D8:V8"/>
    <mergeCell ref="D7:V7"/>
    <mergeCell ref="D2:F2"/>
    <mergeCell ref="D3:V3"/>
    <mergeCell ref="D4:V5"/>
    <mergeCell ref="D6:V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XFB102"/>
  <sheetViews>
    <sheetView tabSelected="1" zoomScale="90" zoomScaleNormal="90" workbookViewId="0">
      <pane ySplit="4" topLeftCell="A5" activePane="bottomLeft" state="frozen"/>
      <selection activeCell="G67" sqref="G67"/>
      <selection pane="bottomLeft" activeCell="H7" sqref="H7"/>
    </sheetView>
  </sheetViews>
  <sheetFormatPr defaultColWidth="0" defaultRowHeight="14.4" zeroHeight="1" x14ac:dyDescent="0.3"/>
  <cols>
    <col min="1" max="1" width="10.77734375" style="17" customWidth="1"/>
    <col min="2" max="2" width="14.44140625" style="17" bestFit="1" customWidth="1"/>
    <col min="3" max="3" width="15.44140625" style="17" bestFit="1" customWidth="1"/>
    <col min="4" max="4" width="15.77734375" style="17" customWidth="1"/>
    <col min="5" max="5" width="16" style="17" customWidth="1"/>
    <col min="6" max="6" width="16.109375" style="17" customWidth="1"/>
    <col min="7" max="7" width="11.44140625" style="17" bestFit="1" customWidth="1"/>
    <col min="8" max="8" width="14.44140625" style="17" customWidth="1"/>
    <col min="9" max="9" width="10.5546875" style="17" customWidth="1"/>
    <col min="10" max="10" width="32.44140625" style="17" customWidth="1"/>
    <col min="11" max="11" width="18.33203125" style="17" customWidth="1"/>
    <col min="12" max="12" width="14.5546875" style="17" customWidth="1"/>
    <col min="13" max="13" width="10.6640625" style="17" customWidth="1"/>
    <col min="14" max="14" width="10.109375" style="17" customWidth="1"/>
    <col min="15" max="15" width="20.21875" style="17" customWidth="1"/>
    <col min="16" max="16" width="14.44140625" style="17" customWidth="1"/>
    <col min="17" max="17" width="11.5546875" style="17" customWidth="1"/>
    <col min="18" max="18" width="14.21875" style="17" customWidth="1"/>
    <col min="19" max="19" width="10.44140625" style="17" customWidth="1"/>
    <col min="20" max="21" width="25.77734375" style="17" customWidth="1"/>
    <col min="22" max="25" width="12.77734375" style="17" customWidth="1"/>
    <col min="26" max="27" width="25.77734375" style="17" customWidth="1"/>
    <col min="28" max="33" width="12.77734375" style="17" customWidth="1"/>
    <col min="34" max="34" width="24.88671875" style="17" customWidth="1"/>
    <col min="35" max="35" width="20.77734375" style="17" customWidth="1"/>
    <col min="36" max="36" width="36.44140625" style="17" customWidth="1"/>
    <col min="37" max="37" width="15.109375" style="17" customWidth="1"/>
    <col min="38" max="38" width="16.77734375" style="17" customWidth="1"/>
    <col min="39" max="39" width="12.44140625" style="17" customWidth="1"/>
    <col min="40" max="40" width="23" style="17" customWidth="1"/>
    <col min="41" max="41" width="10.77734375" style="17" customWidth="1"/>
    <col min="42" max="42" width="23" style="17" customWidth="1"/>
    <col min="43" max="43" width="28" style="17" customWidth="1"/>
    <col min="44" max="44" width="15.44140625" style="17" customWidth="1"/>
    <col min="45" max="46" width="12.44140625" style="17" customWidth="1"/>
    <col min="47" max="47" width="15.77734375" style="17" customWidth="1"/>
    <col min="48" max="48" width="10.77734375" style="17" customWidth="1"/>
    <col min="49" max="49" width="21.21875" style="17" customWidth="1"/>
    <col min="50" max="50" width="2.77734375" style="17" customWidth="1"/>
    <col min="51" max="51" width="55.77734375" style="17" customWidth="1"/>
    <col min="52" max="52" width="8.88671875" style="17" customWidth="1"/>
    <col min="53" max="16381" width="8.88671875" style="17" hidden="1"/>
    <col min="16382" max="16382" width="2" style="17" hidden="1"/>
    <col min="16383" max="16384" width="2.21875" style="17" hidden="1"/>
  </cols>
  <sheetData>
    <row r="1" spans="1:52" ht="60" customHeight="1" thickBot="1" x14ac:dyDescent="0.35">
      <c r="A1" s="30" t="s">
        <v>155</v>
      </c>
      <c r="B1" s="207" t="e" vm="2">
        <v>#VALUE!</v>
      </c>
      <c r="C1" s="207"/>
      <c r="D1" s="29"/>
      <c r="E1" s="29"/>
      <c r="F1" s="29"/>
      <c r="G1" s="29"/>
      <c r="H1" s="29"/>
      <c r="I1" s="29"/>
      <c r="J1" s="29"/>
      <c r="K1" s="29"/>
      <c r="L1" s="29"/>
      <c r="M1" s="86"/>
      <c r="N1" s="29"/>
      <c r="O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row>
    <row r="2" spans="1:52" ht="30" customHeight="1" thickBot="1" x14ac:dyDescent="0.35">
      <c r="A2" s="214" t="s">
        <v>0</v>
      </c>
      <c r="B2" s="215"/>
      <c r="C2" s="215"/>
      <c r="D2" s="215"/>
      <c r="E2" s="215"/>
      <c r="F2" s="215"/>
      <c r="G2" s="215"/>
      <c r="H2" s="215"/>
      <c r="I2" s="215"/>
      <c r="J2" s="215"/>
      <c r="K2" s="215"/>
      <c r="L2" s="215"/>
      <c r="M2" s="215"/>
      <c r="N2" s="216"/>
      <c r="O2" s="214" t="s">
        <v>1</v>
      </c>
      <c r="P2" s="215"/>
      <c r="Q2" s="215"/>
      <c r="R2" s="215"/>
      <c r="S2" s="216"/>
      <c r="T2" s="214" t="s">
        <v>2</v>
      </c>
      <c r="U2" s="215"/>
      <c r="V2" s="215"/>
      <c r="W2" s="215"/>
      <c r="X2" s="215"/>
      <c r="Y2" s="216"/>
      <c r="Z2" s="214" t="s">
        <v>3</v>
      </c>
      <c r="AA2" s="215"/>
      <c r="AB2" s="215"/>
      <c r="AC2" s="215"/>
      <c r="AD2" s="215"/>
      <c r="AE2" s="215"/>
      <c r="AF2" s="214" t="s">
        <v>4</v>
      </c>
      <c r="AG2" s="215"/>
      <c r="AH2" s="215"/>
      <c r="AI2" s="216"/>
      <c r="AJ2" s="214" t="s">
        <v>5</v>
      </c>
      <c r="AK2" s="215"/>
      <c r="AL2" s="216"/>
      <c r="AM2" s="211" t="s">
        <v>6</v>
      </c>
      <c r="AN2" s="211"/>
      <c r="AO2" s="211"/>
      <c r="AP2" s="211"/>
      <c r="AQ2" s="212" t="s">
        <v>7</v>
      </c>
      <c r="AR2" s="211"/>
      <c r="AS2" s="211"/>
      <c r="AT2" s="211"/>
      <c r="AU2" s="211"/>
      <c r="AV2" s="213"/>
      <c r="AW2" s="21" t="s">
        <v>8</v>
      </c>
      <c r="AX2" s="18"/>
      <c r="AY2" s="18"/>
      <c r="AZ2" s="18"/>
    </row>
    <row r="3" spans="1:52" s="28" customFormat="1" ht="62.4" customHeight="1" x14ac:dyDescent="0.3">
      <c r="A3" s="20" t="s">
        <v>159</v>
      </c>
      <c r="B3" s="20" t="s">
        <v>160</v>
      </c>
      <c r="C3" s="208" t="s">
        <v>161</v>
      </c>
      <c r="D3" s="209"/>
      <c r="E3" s="25" t="s">
        <v>162</v>
      </c>
      <c r="F3" s="217" t="s">
        <v>164</v>
      </c>
      <c r="G3" s="217"/>
      <c r="H3" s="25" t="s">
        <v>163</v>
      </c>
      <c r="I3" s="25" t="s">
        <v>165</v>
      </c>
      <c r="J3" s="20" t="s">
        <v>276</v>
      </c>
      <c r="K3" s="25" t="s">
        <v>166</v>
      </c>
      <c r="L3" s="25" t="s">
        <v>278</v>
      </c>
      <c r="M3" s="25" t="s">
        <v>277</v>
      </c>
      <c r="N3" s="25" t="s">
        <v>182</v>
      </c>
      <c r="O3" s="25" t="s">
        <v>167</v>
      </c>
      <c r="P3" s="25" t="s">
        <v>169</v>
      </c>
      <c r="Q3" s="210" t="s">
        <v>168</v>
      </c>
      <c r="R3" s="209"/>
      <c r="S3" s="25" t="s">
        <v>169</v>
      </c>
      <c r="T3" s="25" t="s">
        <v>170</v>
      </c>
      <c r="U3" s="25" t="s">
        <v>171</v>
      </c>
      <c r="V3" s="25" t="s">
        <v>169</v>
      </c>
      <c r="W3" s="25" t="s">
        <v>169</v>
      </c>
      <c r="X3" s="25" t="s">
        <v>169</v>
      </c>
      <c r="Y3" s="25" t="s">
        <v>172</v>
      </c>
      <c r="Z3" s="25" t="s">
        <v>173</v>
      </c>
      <c r="AA3" s="25" t="s">
        <v>171</v>
      </c>
      <c r="AB3" s="25" t="s">
        <v>169</v>
      </c>
      <c r="AC3" s="25" t="s">
        <v>169</v>
      </c>
      <c r="AD3" s="25" t="s">
        <v>169</v>
      </c>
      <c r="AE3" s="25" t="s">
        <v>174</v>
      </c>
      <c r="AF3" s="25" t="s">
        <v>169</v>
      </c>
      <c r="AG3" s="25" t="s">
        <v>169</v>
      </c>
      <c r="AH3" s="25" t="s">
        <v>169</v>
      </c>
      <c r="AI3" s="25" t="s">
        <v>175</v>
      </c>
      <c r="AJ3" s="25" t="s">
        <v>176</v>
      </c>
      <c r="AK3" s="20" t="s">
        <v>177</v>
      </c>
      <c r="AL3" s="20" t="s">
        <v>279</v>
      </c>
      <c r="AM3" s="25" t="s">
        <v>169</v>
      </c>
      <c r="AN3" s="25" t="s">
        <v>169</v>
      </c>
      <c r="AO3" s="25" t="s">
        <v>169</v>
      </c>
      <c r="AP3" s="25" t="s">
        <v>169</v>
      </c>
      <c r="AQ3" s="25" t="s">
        <v>178</v>
      </c>
      <c r="AR3" s="25" t="s">
        <v>178</v>
      </c>
      <c r="AS3" s="25" t="s">
        <v>169</v>
      </c>
      <c r="AT3" s="25" t="s">
        <v>169</v>
      </c>
      <c r="AU3" s="25" t="s">
        <v>169</v>
      </c>
      <c r="AV3" s="25" t="s">
        <v>169</v>
      </c>
      <c r="AW3" s="27" t="s">
        <v>169</v>
      </c>
      <c r="AY3" s="189" t="s">
        <v>280</v>
      </c>
    </row>
    <row r="4" spans="1:52" ht="69.599999999999994" x14ac:dyDescent="0.3">
      <c r="A4" s="22" t="s">
        <v>154</v>
      </c>
      <c r="B4" s="22" t="s">
        <v>9</v>
      </c>
      <c r="C4" s="22" t="s">
        <v>10</v>
      </c>
      <c r="D4" s="22" t="s">
        <v>11</v>
      </c>
      <c r="E4" s="22" t="s">
        <v>12</v>
      </c>
      <c r="F4" s="22" t="s">
        <v>13</v>
      </c>
      <c r="G4" s="22" t="s">
        <v>14</v>
      </c>
      <c r="H4" s="22" t="s">
        <v>15</v>
      </c>
      <c r="I4" s="22" t="s">
        <v>16</v>
      </c>
      <c r="J4" s="176" t="s">
        <v>17</v>
      </c>
      <c r="K4" s="22" t="s">
        <v>18</v>
      </c>
      <c r="L4" s="22" t="s">
        <v>19</v>
      </c>
      <c r="M4" s="176" t="s">
        <v>20</v>
      </c>
      <c r="N4" s="22" t="s">
        <v>21</v>
      </c>
      <c r="O4" s="22" t="s">
        <v>22</v>
      </c>
      <c r="P4" s="22" t="s">
        <v>23</v>
      </c>
      <c r="Q4" s="22" t="s">
        <v>24</v>
      </c>
      <c r="R4" s="22" t="s">
        <v>25</v>
      </c>
      <c r="S4" s="22" t="s">
        <v>26</v>
      </c>
      <c r="T4" s="22" t="s">
        <v>27</v>
      </c>
      <c r="U4" s="22" t="s">
        <v>28</v>
      </c>
      <c r="V4" s="22" t="s">
        <v>29</v>
      </c>
      <c r="W4" s="22" t="s">
        <v>30</v>
      </c>
      <c r="X4" s="22" t="s">
        <v>31</v>
      </c>
      <c r="Y4" s="22" t="s">
        <v>32</v>
      </c>
      <c r="Z4" s="22" t="s">
        <v>33</v>
      </c>
      <c r="AA4" s="22" t="s">
        <v>34</v>
      </c>
      <c r="AB4" s="22" t="s">
        <v>35</v>
      </c>
      <c r="AC4" s="22" t="s">
        <v>36</v>
      </c>
      <c r="AD4" s="22" t="s">
        <v>37</v>
      </c>
      <c r="AE4" s="22" t="s">
        <v>38</v>
      </c>
      <c r="AF4" s="23" t="s">
        <v>39</v>
      </c>
      <c r="AG4" s="23" t="s">
        <v>40</v>
      </c>
      <c r="AH4" s="23" t="s">
        <v>41</v>
      </c>
      <c r="AI4" s="22" t="s">
        <v>42</v>
      </c>
      <c r="AJ4" s="23" t="s">
        <v>43</v>
      </c>
      <c r="AK4" s="23" t="s">
        <v>44</v>
      </c>
      <c r="AL4" s="177" t="s">
        <v>45</v>
      </c>
      <c r="AM4" s="23" t="s">
        <v>46</v>
      </c>
      <c r="AN4" s="23" t="s">
        <v>47</v>
      </c>
      <c r="AO4" s="23" t="s">
        <v>48</v>
      </c>
      <c r="AP4" s="23" t="s">
        <v>49</v>
      </c>
      <c r="AQ4" s="23" t="s">
        <v>50</v>
      </c>
      <c r="AR4" s="23" t="s">
        <v>51</v>
      </c>
      <c r="AS4" s="23" t="s">
        <v>52</v>
      </c>
      <c r="AT4" s="23" t="s">
        <v>53</v>
      </c>
      <c r="AU4" s="23" t="s">
        <v>54</v>
      </c>
      <c r="AV4" s="23" t="s">
        <v>55</v>
      </c>
      <c r="AW4" s="23" t="s">
        <v>56</v>
      </c>
      <c r="AY4" s="177" t="s">
        <v>281</v>
      </c>
    </row>
    <row r="5" spans="1:52" ht="15" customHeight="1" x14ac:dyDescent="0.15">
      <c r="A5" s="201"/>
      <c r="B5" s="178" t="s">
        <v>57</v>
      </c>
      <c r="C5" s="178" t="s">
        <v>293</v>
      </c>
      <c r="D5" s="178" t="s">
        <v>295</v>
      </c>
      <c r="E5" s="204" t="s">
        <v>310</v>
      </c>
      <c r="F5" s="203" t="s">
        <v>310</v>
      </c>
      <c r="G5" s="179"/>
      <c r="H5" s="206">
        <v>34410</v>
      </c>
      <c r="I5" s="181" t="s">
        <v>58</v>
      </c>
      <c r="J5" s="175" t="str">
        <f>IF(_xlfn.XLOOKUP(B5,DropdownList!$C$2:$C$8,DropdownList!$B$2:$B$8,0)=0,"",_xlfn.XLOOKUP(B5,DropdownList!$C$2:$C$8,DropdownList!$B$2:$B$8,0))</f>
        <v>Consolidated Funeral - Main</v>
      </c>
      <c r="K5" s="182">
        <v>46082</v>
      </c>
      <c r="L5" s="183" t="s">
        <v>60</v>
      </c>
      <c r="M5" s="44">
        <f>IF('Onboarding Calcs'!N3=0,0,'Onboarding Calcs'!N3)</f>
        <v>263.5</v>
      </c>
      <c r="N5" s="26">
        <v>120000</v>
      </c>
      <c r="O5" s="178"/>
      <c r="P5" s="178"/>
      <c r="Q5" s="184"/>
      <c r="R5" s="184"/>
      <c r="S5" s="178"/>
      <c r="T5" s="178" t="s">
        <v>301</v>
      </c>
      <c r="U5" s="178" t="s">
        <v>302</v>
      </c>
      <c r="V5" s="178" t="s">
        <v>303</v>
      </c>
      <c r="W5" s="178" t="s">
        <v>304</v>
      </c>
      <c r="X5" s="178" t="s">
        <v>305</v>
      </c>
      <c r="Y5" s="185">
        <v>2001</v>
      </c>
      <c r="Z5" s="178" t="s">
        <v>301</v>
      </c>
      <c r="AA5" s="178" t="s">
        <v>302</v>
      </c>
      <c r="AB5" s="178" t="s">
        <v>303</v>
      </c>
      <c r="AC5" s="178" t="s">
        <v>304</v>
      </c>
      <c r="AD5" s="178" t="s">
        <v>305</v>
      </c>
      <c r="AE5" s="185">
        <v>2001</v>
      </c>
      <c r="AF5" s="185" t="s">
        <v>306</v>
      </c>
      <c r="AG5" s="185" t="s">
        <v>307</v>
      </c>
      <c r="AH5" s="186" t="s">
        <v>308</v>
      </c>
      <c r="AI5" s="181" t="s">
        <v>41</v>
      </c>
      <c r="AJ5" s="24" t="s">
        <v>61</v>
      </c>
      <c r="AK5" s="26" t="s">
        <v>105</v>
      </c>
      <c r="AL5" s="42" t="str">
        <f>IF(OR(Table13[[#This Row],[Annual Increase Option]]="No increase",Table13[[#This Row],[Annual Increase Option]]=""),"",_xlfn.XLOOKUP(MONTH(Table13[[#This Row],[Commencement Date]]),DropdownList!$A$19:$A$30,DropdownList!$B$19:$B$30,0))</f>
        <v>March</v>
      </c>
      <c r="AM5" s="185">
        <v>94</v>
      </c>
      <c r="AN5" s="178" t="s">
        <v>294</v>
      </c>
      <c r="AO5" s="178">
        <v>67897899</v>
      </c>
      <c r="AP5" s="178" t="s">
        <v>284</v>
      </c>
      <c r="AQ5" s="26" t="s">
        <v>112</v>
      </c>
      <c r="AR5" s="178" t="s">
        <v>126</v>
      </c>
      <c r="AS5" s="178">
        <v>250655</v>
      </c>
      <c r="AT5" s="205" t="s">
        <v>309</v>
      </c>
      <c r="AU5" s="178" t="s">
        <v>116</v>
      </c>
      <c r="AV5" s="181">
        <v>15</v>
      </c>
      <c r="AW5" s="187" t="s">
        <v>289</v>
      </c>
      <c r="AY5" s="188">
        <f>'Onboarding Calcs'!Q3</f>
        <v>150000</v>
      </c>
    </row>
    <row r="6" spans="1:52" ht="15" customHeight="1" x14ac:dyDescent="0.15">
      <c r="A6" s="201"/>
      <c r="B6" s="178" t="s">
        <v>67</v>
      </c>
      <c r="C6" s="178" t="s">
        <v>290</v>
      </c>
      <c r="D6" s="178" t="s">
        <v>295</v>
      </c>
      <c r="E6" s="78" t="s">
        <v>310</v>
      </c>
      <c r="F6" s="204" t="s">
        <v>311</v>
      </c>
      <c r="G6" s="179"/>
      <c r="H6" s="206">
        <v>34410</v>
      </c>
      <c r="I6" s="181" t="s">
        <v>68</v>
      </c>
      <c r="J6" s="175" t="str">
        <f>IF(_xlfn.XLOOKUP(B6,DropdownList!$C$2:$C$8,DropdownList!$B$2:$B$8,0)=0,"",_xlfn.XLOOKUP(B6,DropdownList!$C$2:$C$8,DropdownList!$B$2:$B$8,0))</f>
        <v xml:space="preserve">Consolidated Funeral - Spouse </v>
      </c>
      <c r="K6" s="182">
        <v>46082</v>
      </c>
      <c r="L6" s="183"/>
      <c r="M6" s="44">
        <f>IF('Onboarding Calcs'!N4=0,0,'Onboarding Calcs'!N4)</f>
        <v>138.125</v>
      </c>
      <c r="N6" s="26">
        <v>100000</v>
      </c>
      <c r="O6" s="178"/>
      <c r="P6" s="178"/>
      <c r="Q6" s="184"/>
      <c r="R6" s="184"/>
      <c r="S6" s="178"/>
      <c r="T6" s="178"/>
      <c r="U6" s="178"/>
      <c r="V6" s="178"/>
      <c r="W6" s="178"/>
      <c r="X6" s="178"/>
      <c r="Y6" s="185"/>
      <c r="Z6" s="178"/>
      <c r="AA6" s="178"/>
      <c r="AB6" s="178"/>
      <c r="AC6" s="178"/>
      <c r="AD6" s="178"/>
      <c r="AE6" s="185"/>
      <c r="AF6" s="185"/>
      <c r="AG6" s="185"/>
      <c r="AH6" s="186"/>
      <c r="AI6" s="181"/>
      <c r="AJ6" s="24"/>
      <c r="AK6" s="26"/>
      <c r="AL6" s="42" t="str">
        <f>IF(OR(Table13[[#This Row],[Annual Increase Option]]="No increase",Table13[[#This Row],[Annual Increase Option]]=""),"",_xlfn.XLOOKUP(MONTH(Table13[[#This Row],[Commencement Date]]),DropdownList!$A$19:$A$30,DropdownList!$B$19:$B$30,0))</f>
        <v/>
      </c>
      <c r="AM6" s="178"/>
      <c r="AN6" s="178"/>
      <c r="AO6" s="178"/>
      <c r="AP6" s="178"/>
      <c r="AQ6" s="26"/>
      <c r="AR6" s="178"/>
      <c r="AS6" s="178"/>
      <c r="AT6" s="185"/>
      <c r="AU6" s="178"/>
      <c r="AV6" s="181"/>
      <c r="AW6" s="187"/>
      <c r="AY6" s="188">
        <f>'Onboarding Calcs'!Q4</f>
        <v>120000</v>
      </c>
    </row>
    <row r="7" spans="1:52" ht="15" customHeight="1" x14ac:dyDescent="0.15">
      <c r="A7" s="201"/>
      <c r="B7" s="178" t="s">
        <v>76</v>
      </c>
      <c r="C7" s="178" t="s">
        <v>291</v>
      </c>
      <c r="D7" s="178" t="s">
        <v>295</v>
      </c>
      <c r="E7" s="78" t="s">
        <v>310</v>
      </c>
      <c r="F7" s="204" t="s">
        <v>316</v>
      </c>
      <c r="G7" s="179"/>
      <c r="H7" s="206">
        <v>34410</v>
      </c>
      <c r="I7" s="181" t="s">
        <v>68</v>
      </c>
      <c r="J7" s="175" t="str">
        <f>IF(_xlfn.XLOOKUP(B7,DropdownList!$C$2:$C$8,DropdownList!$B$2:$B$8,0)=0,"",_xlfn.XLOOKUP(B7,DropdownList!$C$2:$C$8,DropdownList!$B$2:$B$8,0))</f>
        <v/>
      </c>
      <c r="K7" s="182">
        <v>46082</v>
      </c>
      <c r="L7" s="183"/>
      <c r="M7" s="44">
        <f>IF('Onboarding Calcs'!N5=0,0,'Onboarding Calcs'!N5)</f>
        <v>0</v>
      </c>
      <c r="N7" s="26">
        <v>100000</v>
      </c>
      <c r="O7" s="178"/>
      <c r="P7" s="178"/>
      <c r="Q7" s="184"/>
      <c r="R7" s="184"/>
      <c r="S7" s="178"/>
      <c r="T7" s="178"/>
      <c r="U7" s="178"/>
      <c r="V7" s="178"/>
      <c r="W7" s="178"/>
      <c r="X7" s="178"/>
      <c r="Y7" s="185"/>
      <c r="Z7" s="178"/>
      <c r="AA7" s="178"/>
      <c r="AB7" s="178"/>
      <c r="AC7" s="178"/>
      <c r="AD7" s="178"/>
      <c r="AE7" s="185"/>
      <c r="AF7" s="185"/>
      <c r="AG7" s="185"/>
      <c r="AH7" s="186"/>
      <c r="AI7" s="181"/>
      <c r="AJ7" s="24"/>
      <c r="AK7" s="26"/>
      <c r="AL7" s="42" t="str">
        <f>IF(OR(Table13[[#This Row],[Annual Increase Option]]="No increase",Table13[[#This Row],[Annual Increase Option]]=""),"",_xlfn.XLOOKUP(MONTH(Table13[[#This Row],[Commencement Date]]),DropdownList!$A$19:$A$30,DropdownList!$B$19:$B$30,0))</f>
        <v/>
      </c>
      <c r="AM7" s="178"/>
      <c r="AN7" s="178"/>
      <c r="AO7" s="178"/>
      <c r="AP7" s="178"/>
      <c r="AQ7" s="26"/>
      <c r="AR7" s="178"/>
      <c r="AS7" s="178"/>
      <c r="AT7" s="185"/>
      <c r="AU7" s="178"/>
      <c r="AV7" s="181"/>
      <c r="AW7" s="187"/>
      <c r="AY7" s="188">
        <f>'Onboarding Calcs'!Q5</f>
        <v>0</v>
      </c>
    </row>
    <row r="8" spans="1:52" ht="15" customHeight="1" x14ac:dyDescent="0.15">
      <c r="A8" s="201"/>
      <c r="B8" s="178" t="s">
        <v>76</v>
      </c>
      <c r="C8" s="178" t="s">
        <v>292</v>
      </c>
      <c r="D8" s="178" t="s">
        <v>295</v>
      </c>
      <c r="E8" s="78" t="s">
        <v>310</v>
      </c>
      <c r="F8" s="202" t="s">
        <v>312</v>
      </c>
      <c r="G8" s="179"/>
      <c r="H8" s="206">
        <v>34410</v>
      </c>
      <c r="I8" s="181" t="s">
        <v>58</v>
      </c>
      <c r="J8" s="175" t="str">
        <f>IF(_xlfn.XLOOKUP(B8,DropdownList!$C$2:$C$8,DropdownList!$B$2:$B$8,0)=0,"",_xlfn.XLOOKUP(B8,DropdownList!$C$2:$C$8,DropdownList!$B$2:$B$8,0))</f>
        <v/>
      </c>
      <c r="K8" s="182">
        <v>46082</v>
      </c>
      <c r="L8" s="183"/>
      <c r="M8" s="44">
        <f>IF('Onboarding Calcs'!N6=0,0,'Onboarding Calcs'!N6)</f>
        <v>0</v>
      </c>
      <c r="N8" s="26"/>
      <c r="O8" s="178"/>
      <c r="P8" s="178"/>
      <c r="Q8" s="184"/>
      <c r="R8" s="184"/>
      <c r="S8" s="178"/>
      <c r="T8" s="178"/>
      <c r="U8" s="178"/>
      <c r="V8" s="178"/>
      <c r="W8" s="178"/>
      <c r="X8" s="178"/>
      <c r="Y8" s="185"/>
      <c r="Z8" s="178"/>
      <c r="AA8" s="178"/>
      <c r="AB8" s="178"/>
      <c r="AC8" s="178"/>
      <c r="AD8" s="178"/>
      <c r="AE8" s="185"/>
      <c r="AF8" s="185"/>
      <c r="AG8" s="185"/>
      <c r="AH8" s="186"/>
      <c r="AI8" s="181"/>
      <c r="AJ8" s="24"/>
      <c r="AK8" s="26"/>
      <c r="AL8" s="42" t="str">
        <f>IF(OR(Table13[[#This Row],[Annual Increase Option]]="No increase",Table13[[#This Row],[Annual Increase Option]]=""),"",_xlfn.XLOOKUP(MONTH(Table13[[#This Row],[Commencement Date]]),DropdownList!$A$19:$A$30,DropdownList!$B$19:$B$30,0))</f>
        <v/>
      </c>
      <c r="AM8" s="178"/>
      <c r="AN8" s="178"/>
      <c r="AO8" s="178"/>
      <c r="AP8" s="178"/>
      <c r="AQ8" s="26"/>
      <c r="AR8" s="178"/>
      <c r="AS8" s="178"/>
      <c r="AT8" s="185"/>
      <c r="AU8" s="178"/>
      <c r="AV8" s="181"/>
      <c r="AW8" s="187"/>
      <c r="AY8" s="188">
        <f>'Onboarding Calcs'!Q6</f>
        <v>0</v>
      </c>
    </row>
    <row r="9" spans="1:52" ht="15" customHeight="1" x14ac:dyDescent="0.15">
      <c r="A9" s="201"/>
      <c r="B9" s="178" t="s">
        <v>76</v>
      </c>
      <c r="C9" s="178" t="s">
        <v>299</v>
      </c>
      <c r="D9" s="178" t="s">
        <v>300</v>
      </c>
      <c r="E9" s="78" t="s">
        <v>310</v>
      </c>
      <c r="F9" s="204" t="s">
        <v>313</v>
      </c>
      <c r="G9" s="179"/>
      <c r="H9" s="206">
        <v>34410</v>
      </c>
      <c r="I9" s="181" t="s">
        <v>58</v>
      </c>
      <c r="J9" s="175" t="str">
        <f>IF(_xlfn.XLOOKUP(B9,DropdownList!$C$2:$C$8,DropdownList!$B$2:$B$8,0)=0,"",_xlfn.XLOOKUP(B9,DropdownList!$C$2:$C$8,DropdownList!$B$2:$B$8,0))</f>
        <v/>
      </c>
      <c r="K9" s="182">
        <v>46082</v>
      </c>
      <c r="L9" s="183"/>
      <c r="M9" s="44">
        <f>IF('Onboarding Calcs'!N7=0,0,'Onboarding Calcs'!N7)</f>
        <v>0</v>
      </c>
      <c r="N9" s="26"/>
      <c r="O9" s="178"/>
      <c r="P9" s="178"/>
      <c r="Q9" s="184"/>
      <c r="R9" s="184"/>
      <c r="S9" s="178"/>
      <c r="T9" s="178"/>
      <c r="U9" s="178"/>
      <c r="V9" s="178"/>
      <c r="W9" s="178"/>
      <c r="X9" s="178"/>
      <c r="Y9" s="185"/>
      <c r="Z9" s="178"/>
      <c r="AA9" s="178"/>
      <c r="AB9" s="178"/>
      <c r="AC9" s="178"/>
      <c r="AD9" s="178"/>
      <c r="AE9" s="185"/>
      <c r="AF9" s="185"/>
      <c r="AG9" s="185"/>
      <c r="AH9" s="186"/>
      <c r="AI9" s="181"/>
      <c r="AJ9" s="24"/>
      <c r="AK9" s="26"/>
      <c r="AL9" s="42" t="str">
        <f>IF(OR(Table13[[#This Row],[Annual Increase Option]]="No increase",Table13[[#This Row],[Annual Increase Option]]=""),"",_xlfn.XLOOKUP(MONTH(Table13[[#This Row],[Commencement Date]]),DropdownList!$A$19:$A$30,DropdownList!$B$19:$B$30,0))</f>
        <v/>
      </c>
      <c r="AM9" s="178"/>
      <c r="AN9" s="178"/>
      <c r="AO9" s="178"/>
      <c r="AP9" s="178"/>
      <c r="AQ9" s="26"/>
      <c r="AR9" s="178"/>
      <c r="AS9" s="178"/>
      <c r="AT9" s="185"/>
      <c r="AU9" s="178"/>
      <c r="AV9" s="181"/>
      <c r="AW9" s="187"/>
      <c r="AY9" s="188">
        <f>'Onboarding Calcs'!Q7</f>
        <v>0</v>
      </c>
    </row>
    <row r="10" spans="1:52" ht="15" customHeight="1" x14ac:dyDescent="0.3">
      <c r="A10" s="190"/>
      <c r="B10" s="178" t="s">
        <v>76</v>
      </c>
      <c r="C10" s="178" t="s">
        <v>296</v>
      </c>
      <c r="D10" s="178" t="s">
        <v>297</v>
      </c>
      <c r="E10" s="78" t="s">
        <v>310</v>
      </c>
      <c r="F10" s="204" t="s">
        <v>314</v>
      </c>
      <c r="G10" s="179"/>
      <c r="H10" s="206">
        <v>34410</v>
      </c>
      <c r="I10" s="181" t="s">
        <v>68</v>
      </c>
      <c r="J10" s="175" t="str">
        <f>IF(_xlfn.XLOOKUP(B10,DropdownList!$C$2:$C$8,DropdownList!$B$2:$B$8,0)=0,"",_xlfn.XLOOKUP(B10,DropdownList!$C$2:$C$8,DropdownList!$B$2:$B$8,0))</f>
        <v/>
      </c>
      <c r="K10" s="196">
        <v>46082</v>
      </c>
      <c r="L10" s="183"/>
      <c r="M10" s="44">
        <f>IF('Onboarding Calcs'!N8=0,0,'Onboarding Calcs'!N8)</f>
        <v>0</v>
      </c>
      <c r="N10" s="26"/>
      <c r="O10" s="178"/>
      <c r="P10" s="178"/>
      <c r="Q10" s="184"/>
      <c r="R10" s="184"/>
      <c r="S10" s="178"/>
      <c r="T10" s="178"/>
      <c r="U10" s="178"/>
      <c r="V10" s="178"/>
      <c r="W10" s="178"/>
      <c r="X10" s="178"/>
      <c r="Y10" s="185"/>
      <c r="Z10" s="178"/>
      <c r="AA10" s="178"/>
      <c r="AB10" s="178"/>
      <c r="AC10" s="178"/>
      <c r="AD10" s="178"/>
      <c r="AE10" s="185"/>
      <c r="AF10" s="185"/>
      <c r="AG10" s="185"/>
      <c r="AH10" s="186"/>
      <c r="AI10" s="181"/>
      <c r="AJ10" s="24"/>
      <c r="AK10" s="26"/>
      <c r="AL10" s="42" t="str">
        <f>IF(OR(Table13[[#This Row],[Annual Increase Option]]="No increase",Table13[[#This Row],[Annual Increase Option]]=""),"",_xlfn.XLOOKUP(MONTH(Table13[[#This Row],[Commencement Date]]),DropdownList!$A$19:$A$30,DropdownList!$B$19:$B$30,0))</f>
        <v/>
      </c>
      <c r="AM10" s="178"/>
      <c r="AN10" s="178"/>
      <c r="AO10" s="178"/>
      <c r="AP10" s="178"/>
      <c r="AQ10" s="26"/>
      <c r="AR10" s="178"/>
      <c r="AS10" s="178"/>
      <c r="AT10" s="185"/>
      <c r="AU10" s="178"/>
      <c r="AV10" s="181"/>
      <c r="AW10" s="187"/>
      <c r="AY10" s="188">
        <f>'Onboarding Calcs'!Q8</f>
        <v>0</v>
      </c>
    </row>
    <row r="11" spans="1:52" ht="15" customHeight="1" x14ac:dyDescent="0.3">
      <c r="A11" s="190"/>
      <c r="B11" s="178" t="s">
        <v>76</v>
      </c>
      <c r="C11" s="178" t="s">
        <v>298</v>
      </c>
      <c r="D11" s="178" t="s">
        <v>295</v>
      </c>
      <c r="E11" s="78" t="s">
        <v>310</v>
      </c>
      <c r="F11" s="78" t="s">
        <v>315</v>
      </c>
      <c r="G11" s="179"/>
      <c r="H11" s="206">
        <v>34410</v>
      </c>
      <c r="I11" s="181" t="s">
        <v>58</v>
      </c>
      <c r="J11" s="175" t="str">
        <f>IF(_xlfn.XLOOKUP(B11,DropdownList!$C$2:$C$8,DropdownList!$B$2:$B$8,0)=0,"",_xlfn.XLOOKUP(B11,DropdownList!$C$2:$C$8,DropdownList!$B$2:$B$8,0))</f>
        <v/>
      </c>
      <c r="K11" s="196">
        <v>46082</v>
      </c>
      <c r="L11" s="183"/>
      <c r="M11" s="44">
        <f>IF('Onboarding Calcs'!N9=0,0,'Onboarding Calcs'!N9)</f>
        <v>0</v>
      </c>
      <c r="N11" s="26"/>
      <c r="O11" s="178"/>
      <c r="P11" s="178"/>
      <c r="Q11" s="184"/>
      <c r="R11" s="184"/>
      <c r="S11" s="178"/>
      <c r="T11" s="178"/>
      <c r="U11" s="178"/>
      <c r="V11" s="178"/>
      <c r="W11" s="178"/>
      <c r="X11" s="178"/>
      <c r="Y11" s="185"/>
      <c r="Z11" s="178"/>
      <c r="AA11" s="178"/>
      <c r="AB11" s="178"/>
      <c r="AC11" s="178"/>
      <c r="AD11" s="178"/>
      <c r="AE11" s="185"/>
      <c r="AF11" s="185"/>
      <c r="AG11" s="185"/>
      <c r="AH11" s="186"/>
      <c r="AI11" s="181"/>
      <c r="AJ11" s="24"/>
      <c r="AK11" s="26"/>
      <c r="AL11" s="42" t="str">
        <f>IF(OR(Table13[[#This Row],[Annual Increase Option]]="No increase",Table13[[#This Row],[Annual Increase Option]]=""),"",_xlfn.XLOOKUP(MONTH(Table13[[#This Row],[Commencement Date]]),DropdownList!$A$19:$A$30,DropdownList!$B$19:$B$30,0))</f>
        <v/>
      </c>
      <c r="AM11" s="178"/>
      <c r="AN11" s="178"/>
      <c r="AO11" s="178"/>
      <c r="AP11" s="178"/>
      <c r="AQ11" s="26"/>
      <c r="AR11" s="178"/>
      <c r="AS11" s="178"/>
      <c r="AT11" s="185"/>
      <c r="AU11" s="178"/>
      <c r="AV11" s="181"/>
      <c r="AW11" s="187"/>
      <c r="AY11" s="188">
        <f>'Onboarding Calcs'!Q9</f>
        <v>0</v>
      </c>
    </row>
    <row r="12" spans="1:52" ht="15" customHeight="1" x14ac:dyDescent="0.3">
      <c r="A12" s="190"/>
      <c r="B12" s="178"/>
      <c r="C12" s="178"/>
      <c r="D12" s="178"/>
      <c r="E12" s="78"/>
      <c r="F12" s="78"/>
      <c r="G12" s="179"/>
      <c r="H12" s="180"/>
      <c r="I12" s="181"/>
      <c r="J12" s="175" t="str">
        <f>IF(_xlfn.XLOOKUP(B12,DropdownList!$C$2:$C$8,DropdownList!$B$2:$B$8,0)=0,"",_xlfn.XLOOKUP(B12,DropdownList!$C$2:$C$8,DropdownList!$B$2:$B$8,0))</f>
        <v/>
      </c>
      <c r="K12" s="182"/>
      <c r="L12" s="183"/>
      <c r="M12" s="44">
        <f>IF('Onboarding Calcs'!N10=0,0,'Onboarding Calcs'!N10)</f>
        <v>0</v>
      </c>
      <c r="N12" s="26"/>
      <c r="O12" s="178"/>
      <c r="P12" s="178"/>
      <c r="Q12" s="184"/>
      <c r="R12" s="184"/>
      <c r="S12" s="178"/>
      <c r="T12" s="178"/>
      <c r="U12" s="178"/>
      <c r="V12" s="178"/>
      <c r="W12" s="178"/>
      <c r="X12" s="178"/>
      <c r="Y12" s="185"/>
      <c r="Z12" s="178"/>
      <c r="AA12" s="178"/>
      <c r="AB12" s="178"/>
      <c r="AC12" s="178"/>
      <c r="AD12" s="178"/>
      <c r="AE12" s="185"/>
      <c r="AF12" s="185"/>
      <c r="AG12" s="185"/>
      <c r="AH12" s="186"/>
      <c r="AI12" s="181"/>
      <c r="AJ12" s="24"/>
      <c r="AK12" s="26"/>
      <c r="AL12" s="42" t="str">
        <f>IF(OR(Table13[[#This Row],[Annual Increase Option]]="No increase",Table13[[#This Row],[Annual Increase Option]]=""),"",_xlfn.XLOOKUP(MONTH(Table13[[#This Row],[Commencement Date]]),DropdownList!$A$19:$A$30,DropdownList!$B$19:$B$30,0))</f>
        <v/>
      </c>
      <c r="AM12" s="178"/>
      <c r="AN12" s="178"/>
      <c r="AO12" s="178"/>
      <c r="AP12" s="178"/>
      <c r="AQ12" s="26"/>
      <c r="AR12" s="178"/>
      <c r="AS12" s="178"/>
      <c r="AT12" s="185"/>
      <c r="AU12" s="178"/>
      <c r="AV12" s="181"/>
      <c r="AW12" s="187"/>
      <c r="AY12" s="188">
        <f>'Onboarding Calcs'!Q10</f>
        <v>0</v>
      </c>
    </row>
    <row r="13" spans="1:52" ht="15" customHeight="1" x14ac:dyDescent="0.3">
      <c r="A13" s="190"/>
      <c r="B13" s="178"/>
      <c r="C13" s="178"/>
      <c r="D13" s="178"/>
      <c r="E13" s="78"/>
      <c r="F13" s="78"/>
      <c r="G13" s="179"/>
      <c r="H13" s="180"/>
      <c r="I13" s="181"/>
      <c r="J13" s="175" t="str">
        <f>IF(_xlfn.XLOOKUP(B13,DropdownList!$C$2:$C$8,DropdownList!$B$2:$B$8,0)=0,"",_xlfn.XLOOKUP(B13,DropdownList!$C$2:$C$8,DropdownList!$B$2:$B$8,0))</f>
        <v/>
      </c>
      <c r="K13" s="182"/>
      <c r="L13" s="183"/>
      <c r="M13" s="44">
        <f>IF('Onboarding Calcs'!N11=0,0,'Onboarding Calcs'!N11)</f>
        <v>0</v>
      </c>
      <c r="N13" s="26"/>
      <c r="O13" s="178"/>
      <c r="P13" s="178"/>
      <c r="Q13" s="184"/>
      <c r="R13" s="184"/>
      <c r="S13" s="178"/>
      <c r="T13" s="178"/>
      <c r="U13" s="178"/>
      <c r="V13" s="178"/>
      <c r="W13" s="178"/>
      <c r="X13" s="178"/>
      <c r="Y13" s="185"/>
      <c r="Z13" s="178"/>
      <c r="AA13" s="178"/>
      <c r="AB13" s="178"/>
      <c r="AC13" s="178"/>
      <c r="AD13" s="178"/>
      <c r="AE13" s="185"/>
      <c r="AF13" s="185"/>
      <c r="AG13" s="185"/>
      <c r="AH13" s="186"/>
      <c r="AI13" s="181"/>
      <c r="AJ13" s="24"/>
      <c r="AK13" s="26"/>
      <c r="AL13" s="42" t="str">
        <f>IF(OR(Table13[[#This Row],[Annual Increase Option]]="No increase",Table13[[#This Row],[Annual Increase Option]]=""),"",_xlfn.XLOOKUP(MONTH(Table13[[#This Row],[Commencement Date]]),DropdownList!$A$19:$A$30,DropdownList!$B$19:$B$30,0))</f>
        <v/>
      </c>
      <c r="AM13" s="178"/>
      <c r="AN13" s="178"/>
      <c r="AO13" s="178"/>
      <c r="AP13" s="178"/>
      <c r="AQ13" s="26"/>
      <c r="AR13" s="178"/>
      <c r="AS13" s="178"/>
      <c r="AT13" s="185"/>
      <c r="AU13" s="178"/>
      <c r="AV13" s="181"/>
      <c r="AW13" s="187"/>
      <c r="AY13" s="188">
        <f>'Onboarding Calcs'!Q11</f>
        <v>0</v>
      </c>
    </row>
    <row r="14" spans="1:52" ht="15" customHeight="1" x14ac:dyDescent="0.3">
      <c r="A14" s="190"/>
      <c r="B14" s="178"/>
      <c r="C14" s="178"/>
      <c r="D14" s="178"/>
      <c r="E14" s="78"/>
      <c r="F14" s="78"/>
      <c r="G14" s="179"/>
      <c r="H14" s="180"/>
      <c r="I14" s="181"/>
      <c r="J14" s="175" t="str">
        <f>IF(_xlfn.XLOOKUP(B14,DropdownList!$C$2:$C$8,DropdownList!$B$2:$B$8,0)=0,"",_xlfn.XLOOKUP(B14,DropdownList!$C$2:$C$8,DropdownList!$B$2:$B$8,0))</f>
        <v/>
      </c>
      <c r="K14" s="182"/>
      <c r="L14" s="183"/>
      <c r="M14" s="44">
        <f>IF('Onboarding Calcs'!N12=0,0,'Onboarding Calcs'!N12)</f>
        <v>0</v>
      </c>
      <c r="N14" s="26"/>
      <c r="O14" s="178"/>
      <c r="P14" s="178"/>
      <c r="Q14" s="184"/>
      <c r="R14" s="184"/>
      <c r="S14" s="178"/>
      <c r="T14" s="178"/>
      <c r="U14" s="178"/>
      <c r="V14" s="178"/>
      <c r="W14" s="178"/>
      <c r="X14" s="178"/>
      <c r="Y14" s="185"/>
      <c r="Z14" s="178"/>
      <c r="AA14" s="178"/>
      <c r="AB14" s="178"/>
      <c r="AC14" s="178"/>
      <c r="AD14" s="178"/>
      <c r="AE14" s="185"/>
      <c r="AF14" s="185"/>
      <c r="AG14" s="185"/>
      <c r="AH14" s="186"/>
      <c r="AI14" s="181"/>
      <c r="AJ14" s="24"/>
      <c r="AK14" s="26"/>
      <c r="AL14" s="42" t="str">
        <f>IF(OR(Table13[[#This Row],[Annual Increase Option]]="No increase",Table13[[#This Row],[Annual Increase Option]]=""),"",_xlfn.XLOOKUP(MONTH(Table13[[#This Row],[Commencement Date]]),DropdownList!$A$19:$A$30,DropdownList!$B$19:$B$30,0))</f>
        <v/>
      </c>
      <c r="AM14" s="178"/>
      <c r="AN14" s="178"/>
      <c r="AO14" s="178"/>
      <c r="AP14" s="178"/>
      <c r="AQ14" s="26"/>
      <c r="AR14" s="178"/>
      <c r="AS14" s="178"/>
      <c r="AT14" s="185"/>
      <c r="AU14" s="178"/>
      <c r="AV14" s="181"/>
      <c r="AW14" s="187"/>
      <c r="AY14" s="188">
        <f>'Onboarding Calcs'!Q12</f>
        <v>0</v>
      </c>
    </row>
    <row r="15" spans="1:52" ht="15" customHeight="1" x14ac:dyDescent="0.3">
      <c r="A15" s="190"/>
      <c r="B15" s="178"/>
      <c r="C15" s="178"/>
      <c r="D15" s="178"/>
      <c r="E15" s="78"/>
      <c r="F15" s="78"/>
      <c r="G15" s="179"/>
      <c r="H15" s="180"/>
      <c r="I15" s="181"/>
      <c r="J15" s="175" t="str">
        <f>IF(_xlfn.XLOOKUP(B15,DropdownList!$C$2:$C$8,DropdownList!$B$2:$B$8,0)=0,"",_xlfn.XLOOKUP(B15,DropdownList!$C$2:$C$8,DropdownList!$B$2:$B$8,0))</f>
        <v/>
      </c>
      <c r="K15" s="182"/>
      <c r="L15" s="183"/>
      <c r="M15" s="44">
        <f>IF('Onboarding Calcs'!N13=0,0,'Onboarding Calcs'!N13)</f>
        <v>0</v>
      </c>
      <c r="N15" s="26"/>
      <c r="O15" s="178"/>
      <c r="P15" s="178"/>
      <c r="Q15" s="184"/>
      <c r="R15" s="184"/>
      <c r="S15" s="178"/>
      <c r="T15" s="178"/>
      <c r="U15" s="178"/>
      <c r="V15" s="178"/>
      <c r="W15" s="178"/>
      <c r="X15" s="178"/>
      <c r="Y15" s="185"/>
      <c r="Z15" s="178"/>
      <c r="AA15" s="178"/>
      <c r="AB15" s="178"/>
      <c r="AC15" s="178"/>
      <c r="AD15" s="178"/>
      <c r="AE15" s="185"/>
      <c r="AF15" s="185"/>
      <c r="AG15" s="185"/>
      <c r="AH15" s="186"/>
      <c r="AI15" s="181"/>
      <c r="AJ15" s="24"/>
      <c r="AK15" s="26"/>
      <c r="AL15" s="42" t="str">
        <f>IF(OR(Table13[[#This Row],[Annual Increase Option]]="No increase",Table13[[#This Row],[Annual Increase Option]]=""),"",_xlfn.XLOOKUP(MONTH(Table13[[#This Row],[Commencement Date]]),DropdownList!$A$19:$A$30,DropdownList!$B$19:$B$30,0))</f>
        <v/>
      </c>
      <c r="AM15" s="178"/>
      <c r="AN15" s="178"/>
      <c r="AO15" s="178"/>
      <c r="AP15" s="178"/>
      <c r="AQ15" s="26"/>
      <c r="AR15" s="178"/>
      <c r="AS15" s="178"/>
      <c r="AT15" s="185"/>
      <c r="AU15" s="178"/>
      <c r="AV15" s="181"/>
      <c r="AW15" s="187"/>
      <c r="AY15" s="188">
        <f>'Onboarding Calcs'!Q13</f>
        <v>0</v>
      </c>
    </row>
    <row r="16" spans="1:52" ht="15" customHeight="1" x14ac:dyDescent="0.3">
      <c r="A16" s="190"/>
      <c r="B16" s="178"/>
      <c r="C16" s="178"/>
      <c r="D16" s="178"/>
      <c r="E16" s="78"/>
      <c r="F16" s="78"/>
      <c r="G16" s="179"/>
      <c r="H16" s="180"/>
      <c r="I16" s="181"/>
      <c r="J16" s="175" t="str">
        <f>IF(_xlfn.XLOOKUP(B16,DropdownList!$C$2:$C$8,DropdownList!$B$2:$B$8,0)=0,"",_xlfn.XLOOKUP(B16,DropdownList!$C$2:$C$8,DropdownList!$B$2:$B$8,0))</f>
        <v/>
      </c>
      <c r="K16" s="182"/>
      <c r="L16" s="183"/>
      <c r="M16" s="44">
        <f>IF('Onboarding Calcs'!N14=0,0,'Onboarding Calcs'!N14)</f>
        <v>0</v>
      </c>
      <c r="N16" s="26"/>
      <c r="O16" s="178"/>
      <c r="P16" s="178"/>
      <c r="Q16" s="184"/>
      <c r="R16" s="184"/>
      <c r="S16" s="178"/>
      <c r="T16" s="178"/>
      <c r="U16" s="178"/>
      <c r="V16" s="178"/>
      <c r="W16" s="178"/>
      <c r="X16" s="178"/>
      <c r="Y16" s="185"/>
      <c r="Z16" s="178"/>
      <c r="AA16" s="178"/>
      <c r="AB16" s="178"/>
      <c r="AC16" s="178"/>
      <c r="AD16" s="178"/>
      <c r="AE16" s="185"/>
      <c r="AF16" s="185"/>
      <c r="AG16" s="185"/>
      <c r="AH16" s="186"/>
      <c r="AI16" s="181"/>
      <c r="AJ16" s="24"/>
      <c r="AK16" s="26"/>
      <c r="AL16" s="42" t="str">
        <f>IF(OR(Table13[[#This Row],[Annual Increase Option]]="No increase",Table13[[#This Row],[Annual Increase Option]]=""),"",_xlfn.XLOOKUP(MONTH(Table13[[#This Row],[Commencement Date]]),DropdownList!$A$19:$A$30,DropdownList!$B$19:$B$30,0))</f>
        <v/>
      </c>
      <c r="AM16" s="178"/>
      <c r="AN16" s="178"/>
      <c r="AO16" s="178"/>
      <c r="AP16" s="178"/>
      <c r="AQ16" s="26"/>
      <c r="AR16" s="178"/>
      <c r="AS16" s="178"/>
      <c r="AT16" s="185"/>
      <c r="AU16" s="178"/>
      <c r="AV16" s="181"/>
      <c r="AW16" s="187"/>
      <c r="AY16" s="188">
        <f>'Onboarding Calcs'!Q14</f>
        <v>0</v>
      </c>
    </row>
    <row r="17" spans="1:51" ht="15" customHeight="1" x14ac:dyDescent="0.3">
      <c r="A17" s="190"/>
      <c r="B17" s="178"/>
      <c r="C17" s="178"/>
      <c r="D17" s="178"/>
      <c r="E17" s="78"/>
      <c r="F17" s="78"/>
      <c r="G17" s="179"/>
      <c r="H17" s="180"/>
      <c r="I17" s="181"/>
      <c r="J17" s="175" t="str">
        <f>IF(_xlfn.XLOOKUP(B17,DropdownList!$C$2:$C$8,DropdownList!$B$2:$B$8,0)=0,"",_xlfn.XLOOKUP(B17,DropdownList!$C$2:$C$8,DropdownList!$B$2:$B$8,0))</f>
        <v/>
      </c>
      <c r="K17" s="182"/>
      <c r="L17" s="183"/>
      <c r="M17" s="44">
        <f>IF('Onboarding Calcs'!N15=0,0,'Onboarding Calcs'!N15)</f>
        <v>0</v>
      </c>
      <c r="N17" s="26"/>
      <c r="O17" s="178"/>
      <c r="P17" s="178"/>
      <c r="Q17" s="184"/>
      <c r="R17" s="184"/>
      <c r="S17" s="178"/>
      <c r="T17" s="178"/>
      <c r="U17" s="178"/>
      <c r="V17" s="178"/>
      <c r="W17" s="178"/>
      <c r="X17" s="178"/>
      <c r="Y17" s="185"/>
      <c r="Z17" s="178"/>
      <c r="AA17" s="178"/>
      <c r="AB17" s="178"/>
      <c r="AC17" s="178"/>
      <c r="AD17" s="178"/>
      <c r="AE17" s="185"/>
      <c r="AF17" s="185"/>
      <c r="AG17" s="185"/>
      <c r="AH17" s="186"/>
      <c r="AI17" s="181"/>
      <c r="AJ17" s="24"/>
      <c r="AK17" s="26"/>
      <c r="AL17" s="42" t="str">
        <f>IF(OR(Table13[[#This Row],[Annual Increase Option]]="No increase",Table13[[#This Row],[Annual Increase Option]]=""),"",_xlfn.XLOOKUP(MONTH(Table13[[#This Row],[Commencement Date]]),DropdownList!$A$19:$A$30,DropdownList!$B$19:$B$30,0))</f>
        <v/>
      </c>
      <c r="AM17" s="178"/>
      <c r="AN17" s="178"/>
      <c r="AO17" s="178"/>
      <c r="AP17" s="178"/>
      <c r="AQ17" s="26"/>
      <c r="AR17" s="178"/>
      <c r="AS17" s="178"/>
      <c r="AT17" s="185"/>
      <c r="AU17" s="178"/>
      <c r="AV17" s="181"/>
      <c r="AW17" s="187"/>
      <c r="AY17" s="188">
        <f>'Onboarding Calcs'!Q15</f>
        <v>0</v>
      </c>
    </row>
    <row r="18" spans="1:51" ht="15" customHeight="1" x14ac:dyDescent="0.3">
      <c r="A18" s="190"/>
      <c r="B18" s="178"/>
      <c r="C18" s="178"/>
      <c r="D18" s="178"/>
      <c r="E18" s="78"/>
      <c r="F18" s="78"/>
      <c r="G18" s="179"/>
      <c r="H18" s="180"/>
      <c r="I18" s="181"/>
      <c r="J18" s="175" t="str">
        <f>IF(_xlfn.XLOOKUP(B18,DropdownList!$C$2:$C$8,DropdownList!$B$2:$B$8,0)=0,"",_xlfn.XLOOKUP(B18,DropdownList!$C$2:$C$8,DropdownList!$B$2:$B$8,0))</f>
        <v/>
      </c>
      <c r="K18" s="182"/>
      <c r="L18" s="183"/>
      <c r="M18" s="44">
        <f>IF('Onboarding Calcs'!N16=0,0,'Onboarding Calcs'!N16)</f>
        <v>0</v>
      </c>
      <c r="N18" s="26"/>
      <c r="O18" s="178"/>
      <c r="P18" s="178"/>
      <c r="Q18" s="184"/>
      <c r="R18" s="184"/>
      <c r="S18" s="178"/>
      <c r="T18" s="178"/>
      <c r="U18" s="178"/>
      <c r="V18" s="178"/>
      <c r="W18" s="178"/>
      <c r="X18" s="178"/>
      <c r="Y18" s="185"/>
      <c r="Z18" s="178"/>
      <c r="AA18" s="178"/>
      <c r="AB18" s="178"/>
      <c r="AC18" s="178"/>
      <c r="AD18" s="178"/>
      <c r="AE18" s="185"/>
      <c r="AF18" s="185"/>
      <c r="AG18" s="185"/>
      <c r="AH18" s="186"/>
      <c r="AI18" s="181"/>
      <c r="AJ18" s="24"/>
      <c r="AK18" s="26"/>
      <c r="AL18" s="42" t="str">
        <f>IF(OR(Table13[[#This Row],[Annual Increase Option]]="No increase",Table13[[#This Row],[Annual Increase Option]]=""),"",_xlfn.XLOOKUP(MONTH(Table13[[#This Row],[Commencement Date]]),DropdownList!$A$19:$A$30,DropdownList!$B$19:$B$30,0))</f>
        <v/>
      </c>
      <c r="AM18" s="178"/>
      <c r="AN18" s="178"/>
      <c r="AO18" s="178"/>
      <c r="AP18" s="178"/>
      <c r="AQ18" s="26"/>
      <c r="AR18" s="178"/>
      <c r="AS18" s="178"/>
      <c r="AT18" s="185"/>
      <c r="AU18" s="178"/>
      <c r="AV18" s="181"/>
      <c r="AW18" s="187"/>
      <c r="AY18" s="188">
        <f>'Onboarding Calcs'!Q16</f>
        <v>0</v>
      </c>
    </row>
    <row r="19" spans="1:51" ht="15" customHeight="1" x14ac:dyDescent="0.3">
      <c r="A19" s="190"/>
      <c r="B19" s="178"/>
      <c r="C19" s="178"/>
      <c r="D19" s="178"/>
      <c r="E19" s="78"/>
      <c r="F19" s="78"/>
      <c r="G19" s="179"/>
      <c r="H19" s="180"/>
      <c r="I19" s="181"/>
      <c r="J19" s="175" t="str">
        <f>IF(_xlfn.XLOOKUP(B19,DropdownList!$C$2:$C$8,DropdownList!$B$2:$B$8,0)=0,"",_xlfn.XLOOKUP(B19,DropdownList!$C$2:$C$8,DropdownList!$B$2:$B$8,0))</f>
        <v/>
      </c>
      <c r="K19" s="182"/>
      <c r="L19" s="183"/>
      <c r="M19" s="44">
        <f>IF('Onboarding Calcs'!N17=0,0,'Onboarding Calcs'!N17)</f>
        <v>0</v>
      </c>
      <c r="N19" s="26"/>
      <c r="O19" s="178"/>
      <c r="P19" s="178"/>
      <c r="Q19" s="184"/>
      <c r="R19" s="184"/>
      <c r="S19" s="178"/>
      <c r="T19" s="178"/>
      <c r="U19" s="178"/>
      <c r="V19" s="178"/>
      <c r="W19" s="178"/>
      <c r="X19" s="178"/>
      <c r="Y19" s="185"/>
      <c r="Z19" s="178"/>
      <c r="AA19" s="178"/>
      <c r="AB19" s="178"/>
      <c r="AC19" s="178"/>
      <c r="AD19" s="178"/>
      <c r="AE19" s="185"/>
      <c r="AF19" s="185"/>
      <c r="AG19" s="185"/>
      <c r="AH19" s="186"/>
      <c r="AI19" s="181"/>
      <c r="AJ19" s="24"/>
      <c r="AK19" s="26"/>
      <c r="AL19" s="42" t="str">
        <f>IF(OR(Table13[[#This Row],[Annual Increase Option]]="No increase",Table13[[#This Row],[Annual Increase Option]]=""),"",_xlfn.XLOOKUP(MONTH(Table13[[#This Row],[Commencement Date]]),DropdownList!$A$19:$A$30,DropdownList!$B$19:$B$30,0))</f>
        <v/>
      </c>
      <c r="AM19" s="178"/>
      <c r="AN19" s="178"/>
      <c r="AO19" s="178"/>
      <c r="AP19" s="178"/>
      <c r="AQ19" s="26"/>
      <c r="AR19" s="178"/>
      <c r="AS19" s="178"/>
      <c r="AT19" s="185"/>
      <c r="AU19" s="178"/>
      <c r="AV19" s="181"/>
      <c r="AW19" s="187"/>
      <c r="AY19" s="188">
        <f>'Onboarding Calcs'!Q17</f>
        <v>0</v>
      </c>
    </row>
    <row r="20" spans="1:51" ht="15" customHeight="1" x14ac:dyDescent="0.3">
      <c r="A20" s="190"/>
      <c r="B20" s="178"/>
      <c r="C20" s="178"/>
      <c r="D20" s="178"/>
      <c r="E20" s="78"/>
      <c r="F20" s="78"/>
      <c r="G20" s="179"/>
      <c r="H20" s="180"/>
      <c r="I20" s="181"/>
      <c r="J20" s="175" t="str">
        <f>IF(_xlfn.XLOOKUP(B20,DropdownList!$C$2:$C$8,DropdownList!$B$2:$B$8,0)=0,"",_xlfn.XLOOKUP(B20,DropdownList!$C$2:$C$8,DropdownList!$B$2:$B$8,0))</f>
        <v/>
      </c>
      <c r="K20" s="182"/>
      <c r="L20" s="183"/>
      <c r="M20" s="44">
        <f>IF('Onboarding Calcs'!N18=0,0,'Onboarding Calcs'!N18)</f>
        <v>0</v>
      </c>
      <c r="N20" s="26"/>
      <c r="O20" s="178"/>
      <c r="P20" s="178"/>
      <c r="Q20" s="184"/>
      <c r="R20" s="184"/>
      <c r="S20" s="178"/>
      <c r="T20" s="178"/>
      <c r="U20" s="178"/>
      <c r="V20" s="178"/>
      <c r="W20" s="178"/>
      <c r="X20" s="178"/>
      <c r="Y20" s="185"/>
      <c r="Z20" s="178"/>
      <c r="AA20" s="178"/>
      <c r="AB20" s="178"/>
      <c r="AC20" s="178"/>
      <c r="AD20" s="178"/>
      <c r="AE20" s="185"/>
      <c r="AF20" s="185"/>
      <c r="AG20" s="185"/>
      <c r="AH20" s="186"/>
      <c r="AI20" s="181"/>
      <c r="AJ20" s="24"/>
      <c r="AK20" s="26"/>
      <c r="AL20" s="42" t="str">
        <f>IF(OR(Table13[[#This Row],[Annual Increase Option]]="No increase",Table13[[#This Row],[Annual Increase Option]]=""),"",_xlfn.XLOOKUP(MONTH(Table13[[#This Row],[Commencement Date]]),DropdownList!$A$19:$A$30,DropdownList!$B$19:$B$30,0))</f>
        <v/>
      </c>
      <c r="AM20" s="178"/>
      <c r="AN20" s="178"/>
      <c r="AO20" s="178"/>
      <c r="AP20" s="178"/>
      <c r="AQ20" s="26"/>
      <c r="AR20" s="178"/>
      <c r="AS20" s="178"/>
      <c r="AT20" s="185"/>
      <c r="AU20" s="178"/>
      <c r="AV20" s="181"/>
      <c r="AW20" s="187"/>
      <c r="AY20" s="188">
        <f>'Onboarding Calcs'!Q18</f>
        <v>0</v>
      </c>
    </row>
    <row r="21" spans="1:51" ht="15" customHeight="1" x14ac:dyDescent="0.3">
      <c r="A21" s="190"/>
      <c r="B21" s="178"/>
      <c r="C21" s="178"/>
      <c r="D21" s="178"/>
      <c r="E21" s="78"/>
      <c r="F21" s="78"/>
      <c r="G21" s="179"/>
      <c r="H21" s="180"/>
      <c r="I21" s="181"/>
      <c r="J21" s="175" t="str">
        <f>IF(_xlfn.XLOOKUP(B21,DropdownList!$C$2:$C$8,DropdownList!$B$2:$B$8,0)=0,"",_xlfn.XLOOKUP(B21,DropdownList!$C$2:$C$8,DropdownList!$B$2:$B$8,0))</f>
        <v/>
      </c>
      <c r="K21" s="182"/>
      <c r="L21" s="183"/>
      <c r="M21" s="44">
        <f>IF('Onboarding Calcs'!N19=0,0,'Onboarding Calcs'!N19)</f>
        <v>0</v>
      </c>
      <c r="N21" s="26"/>
      <c r="O21" s="178"/>
      <c r="P21" s="178"/>
      <c r="Q21" s="184"/>
      <c r="R21" s="184"/>
      <c r="S21" s="178"/>
      <c r="T21" s="178"/>
      <c r="U21" s="178"/>
      <c r="V21" s="178"/>
      <c r="W21" s="178"/>
      <c r="X21" s="178"/>
      <c r="Y21" s="185"/>
      <c r="Z21" s="178"/>
      <c r="AA21" s="178"/>
      <c r="AB21" s="178"/>
      <c r="AC21" s="178"/>
      <c r="AD21" s="178"/>
      <c r="AE21" s="185"/>
      <c r="AF21" s="185"/>
      <c r="AG21" s="185"/>
      <c r="AH21" s="186"/>
      <c r="AI21" s="181"/>
      <c r="AJ21" s="24"/>
      <c r="AK21" s="26"/>
      <c r="AL21" s="42" t="str">
        <f>IF(OR(Table13[[#This Row],[Annual Increase Option]]="No increase",Table13[[#This Row],[Annual Increase Option]]=""),"",_xlfn.XLOOKUP(MONTH(Table13[[#This Row],[Commencement Date]]),DropdownList!$A$19:$A$30,DropdownList!$B$19:$B$30,0))</f>
        <v/>
      </c>
      <c r="AM21" s="178"/>
      <c r="AN21" s="178"/>
      <c r="AO21" s="178"/>
      <c r="AP21" s="178"/>
      <c r="AQ21" s="26"/>
      <c r="AR21" s="178"/>
      <c r="AS21" s="178"/>
      <c r="AT21" s="185"/>
      <c r="AU21" s="178"/>
      <c r="AV21" s="181"/>
      <c r="AW21" s="187"/>
      <c r="AY21" s="188">
        <f>'Onboarding Calcs'!Q19</f>
        <v>0</v>
      </c>
    </row>
    <row r="22" spans="1:51" ht="15" customHeight="1" x14ac:dyDescent="0.3">
      <c r="A22" s="197"/>
      <c r="B22" s="178"/>
      <c r="C22" s="178"/>
      <c r="D22" s="178"/>
      <c r="E22" s="198"/>
      <c r="F22" s="78"/>
      <c r="G22" s="179"/>
      <c r="H22" s="179"/>
      <c r="I22" s="181"/>
      <c r="J22" s="175"/>
      <c r="K22" s="183"/>
      <c r="L22" s="183"/>
      <c r="M22" s="44"/>
      <c r="N22" s="26"/>
      <c r="O22" s="178"/>
      <c r="P22" s="178"/>
      <c r="Q22" s="199"/>
      <c r="R22" s="199"/>
      <c r="S22" s="178"/>
      <c r="T22" s="178"/>
      <c r="U22" s="178"/>
      <c r="V22" s="178"/>
      <c r="W22" s="178"/>
      <c r="X22" s="178"/>
      <c r="Y22" s="185"/>
      <c r="Z22" s="178"/>
      <c r="AA22" s="178"/>
      <c r="AB22" s="178"/>
      <c r="AC22" s="178"/>
      <c r="AD22" s="178"/>
      <c r="AE22" s="185"/>
      <c r="AF22" s="185"/>
      <c r="AG22" s="185"/>
      <c r="AH22" s="186"/>
      <c r="AI22" s="181"/>
      <c r="AJ22" s="24"/>
      <c r="AK22" s="26"/>
      <c r="AL22" s="42"/>
      <c r="AM22" s="178"/>
      <c r="AN22" s="200"/>
      <c r="AO22" s="178"/>
      <c r="AP22" s="178"/>
      <c r="AQ22" s="26"/>
      <c r="AR22" s="178"/>
      <c r="AS22" s="178"/>
      <c r="AT22" s="185"/>
      <c r="AU22" s="178"/>
      <c r="AV22" s="181"/>
      <c r="AW22" s="187"/>
      <c r="AY22" s="188"/>
    </row>
    <row r="23" spans="1:51" ht="15" customHeight="1" x14ac:dyDescent="0.3">
      <c r="A23" s="190"/>
      <c r="B23" s="178"/>
      <c r="C23" s="178"/>
      <c r="D23" s="178"/>
      <c r="E23" s="78"/>
      <c r="F23" s="78"/>
      <c r="G23" s="179"/>
      <c r="H23" s="180"/>
      <c r="I23" s="181"/>
      <c r="J23" s="175" t="str">
        <f>IF(_xlfn.XLOOKUP(B23,DropdownList!$C$2:$C$8,DropdownList!$B$2:$B$8,0)=0,"",_xlfn.XLOOKUP(B23,DropdownList!$C$2:$C$8,DropdownList!$B$2:$B$8,0))</f>
        <v/>
      </c>
      <c r="K23" s="182"/>
      <c r="L23" s="183"/>
      <c r="M23" s="44">
        <f>IF('Onboarding Calcs'!N20=0,0,'Onboarding Calcs'!N20)</f>
        <v>0</v>
      </c>
      <c r="N23" s="26"/>
      <c r="O23" s="178"/>
      <c r="P23" s="178"/>
      <c r="Q23" s="184"/>
      <c r="R23" s="184"/>
      <c r="S23" s="178"/>
      <c r="T23" s="178"/>
      <c r="U23" s="178"/>
      <c r="V23" s="178"/>
      <c r="W23" s="178"/>
      <c r="X23" s="178"/>
      <c r="Y23" s="185"/>
      <c r="Z23" s="178"/>
      <c r="AA23" s="178"/>
      <c r="AB23" s="178"/>
      <c r="AC23" s="178"/>
      <c r="AD23" s="178"/>
      <c r="AE23" s="185"/>
      <c r="AF23" s="185"/>
      <c r="AG23" s="185"/>
      <c r="AH23" s="186"/>
      <c r="AI23" s="181"/>
      <c r="AJ23" s="24"/>
      <c r="AK23" s="26"/>
      <c r="AL23" s="42" t="str">
        <f>IF(OR(Table13[[#This Row],[Annual Increase Option]]="No increase",Table13[[#This Row],[Annual Increase Option]]=""),"",_xlfn.XLOOKUP(MONTH(Table13[[#This Row],[Commencement Date]]),DropdownList!$A$19:$A$30,DropdownList!$B$19:$B$30,0))</f>
        <v/>
      </c>
      <c r="AM23" s="178"/>
      <c r="AN23" s="178"/>
      <c r="AO23" s="178"/>
      <c r="AP23" s="178"/>
      <c r="AQ23" s="26"/>
      <c r="AR23" s="178"/>
      <c r="AS23" s="178"/>
      <c r="AT23" s="185"/>
      <c r="AU23" s="178"/>
      <c r="AV23" s="181"/>
      <c r="AW23" s="187"/>
      <c r="AY23" s="188">
        <f>'Onboarding Calcs'!Q20</f>
        <v>0</v>
      </c>
    </row>
    <row r="24" spans="1:51" ht="15" customHeight="1" x14ac:dyDescent="0.3">
      <c r="A24" s="190"/>
      <c r="B24" s="178"/>
      <c r="C24" s="178"/>
      <c r="D24" s="178"/>
      <c r="E24" s="78"/>
      <c r="F24" s="78"/>
      <c r="G24" s="179"/>
      <c r="H24" s="180"/>
      <c r="I24" s="181"/>
      <c r="J24" s="175" t="str">
        <f>IF(_xlfn.XLOOKUP(B24,DropdownList!$C$2:$C$8,DropdownList!$B$2:$B$8,0)=0,"",_xlfn.XLOOKUP(B24,DropdownList!$C$2:$C$8,DropdownList!$B$2:$B$8,0))</f>
        <v/>
      </c>
      <c r="K24" s="182"/>
      <c r="L24" s="183"/>
      <c r="M24" s="44">
        <f>IF('Onboarding Calcs'!N21=0,0,'Onboarding Calcs'!N21)</f>
        <v>0</v>
      </c>
      <c r="N24" s="26"/>
      <c r="O24" s="178"/>
      <c r="P24" s="178"/>
      <c r="Q24" s="184"/>
      <c r="R24" s="184"/>
      <c r="S24" s="178"/>
      <c r="T24" s="178"/>
      <c r="U24" s="178"/>
      <c r="V24" s="178"/>
      <c r="W24" s="178"/>
      <c r="X24" s="178"/>
      <c r="Y24" s="185"/>
      <c r="Z24" s="178"/>
      <c r="AA24" s="178"/>
      <c r="AB24" s="178"/>
      <c r="AC24" s="178"/>
      <c r="AD24" s="178"/>
      <c r="AE24" s="185"/>
      <c r="AF24" s="185"/>
      <c r="AG24" s="185"/>
      <c r="AH24" s="186"/>
      <c r="AI24" s="181"/>
      <c r="AJ24" s="24"/>
      <c r="AK24" s="26"/>
      <c r="AL24" s="42" t="str">
        <f>IF(OR(Table13[[#This Row],[Annual Increase Option]]="No increase",Table13[[#This Row],[Annual Increase Option]]=""),"",_xlfn.XLOOKUP(MONTH(Table13[[#This Row],[Commencement Date]]),DropdownList!$A$19:$A$30,DropdownList!$B$19:$B$30,0))</f>
        <v/>
      </c>
      <c r="AM24" s="178"/>
      <c r="AN24" s="178"/>
      <c r="AO24" s="178"/>
      <c r="AP24" s="178"/>
      <c r="AQ24" s="26"/>
      <c r="AR24" s="178"/>
      <c r="AS24" s="178"/>
      <c r="AT24" s="185"/>
      <c r="AU24" s="178"/>
      <c r="AV24" s="181"/>
      <c r="AW24" s="187"/>
      <c r="AY24" s="188">
        <f>'Onboarding Calcs'!Q21</f>
        <v>0</v>
      </c>
    </row>
    <row r="25" spans="1:51" ht="15" customHeight="1" x14ac:dyDescent="0.3">
      <c r="A25" s="190"/>
      <c r="B25" s="178"/>
      <c r="C25" s="178"/>
      <c r="D25" s="178"/>
      <c r="E25" s="78"/>
      <c r="F25" s="78"/>
      <c r="G25" s="179"/>
      <c r="H25" s="180"/>
      <c r="I25" s="181"/>
      <c r="J25" s="175" t="str">
        <f>IF(_xlfn.XLOOKUP(B25,DropdownList!$C$2:$C$8,DropdownList!$B$2:$B$8,0)=0,"",_xlfn.XLOOKUP(B25,DropdownList!$C$2:$C$8,DropdownList!$B$2:$B$8,0))</f>
        <v/>
      </c>
      <c r="K25" s="182"/>
      <c r="L25" s="183"/>
      <c r="M25" s="44">
        <f>IF('Onboarding Calcs'!N22=0,0,'Onboarding Calcs'!N22)</f>
        <v>0</v>
      </c>
      <c r="N25" s="26"/>
      <c r="O25" s="178"/>
      <c r="P25" s="178"/>
      <c r="Q25" s="184"/>
      <c r="R25" s="184"/>
      <c r="S25" s="178"/>
      <c r="T25" s="178"/>
      <c r="U25" s="178"/>
      <c r="V25" s="178"/>
      <c r="W25" s="178"/>
      <c r="X25" s="178"/>
      <c r="Y25" s="185"/>
      <c r="Z25" s="178"/>
      <c r="AA25" s="178"/>
      <c r="AB25" s="178"/>
      <c r="AC25" s="178"/>
      <c r="AD25" s="178"/>
      <c r="AE25" s="185"/>
      <c r="AF25" s="185"/>
      <c r="AG25" s="185"/>
      <c r="AH25" s="186"/>
      <c r="AI25" s="181"/>
      <c r="AJ25" s="24"/>
      <c r="AK25" s="26"/>
      <c r="AL25" s="42" t="str">
        <f>IF(OR(Table13[[#This Row],[Annual Increase Option]]="No increase",Table13[[#This Row],[Annual Increase Option]]=""),"",_xlfn.XLOOKUP(MONTH(Table13[[#This Row],[Commencement Date]]),DropdownList!$A$19:$A$30,DropdownList!$B$19:$B$30,0))</f>
        <v/>
      </c>
      <c r="AM25" s="178"/>
      <c r="AN25" s="178"/>
      <c r="AO25" s="178"/>
      <c r="AP25" s="178"/>
      <c r="AQ25" s="26"/>
      <c r="AR25" s="178"/>
      <c r="AS25" s="178"/>
      <c r="AT25" s="185"/>
      <c r="AU25" s="178"/>
      <c r="AV25" s="181"/>
      <c r="AW25" s="187"/>
      <c r="AY25" s="188">
        <f>'Onboarding Calcs'!Q22</f>
        <v>0</v>
      </c>
    </row>
    <row r="26" spans="1:51" ht="15" customHeight="1" x14ac:dyDescent="0.3">
      <c r="A26" s="190"/>
      <c r="B26" s="178"/>
      <c r="C26" s="178"/>
      <c r="D26" s="178"/>
      <c r="E26" s="78"/>
      <c r="F26" s="78"/>
      <c r="G26" s="179"/>
      <c r="H26" s="180"/>
      <c r="I26" s="181"/>
      <c r="J26" s="175" t="str">
        <f>IF(_xlfn.XLOOKUP(B26,DropdownList!$C$2:$C$8,DropdownList!$B$2:$B$8,0)=0,"",_xlfn.XLOOKUP(B26,DropdownList!$C$2:$C$8,DropdownList!$B$2:$B$8,0))</f>
        <v/>
      </c>
      <c r="K26" s="182"/>
      <c r="L26" s="183"/>
      <c r="M26" s="44">
        <f>IF('Onboarding Calcs'!N23=0,0,'Onboarding Calcs'!N23)</f>
        <v>0</v>
      </c>
      <c r="N26" s="26"/>
      <c r="O26" s="178"/>
      <c r="P26" s="178"/>
      <c r="Q26" s="184"/>
      <c r="R26" s="184"/>
      <c r="S26" s="178"/>
      <c r="T26" s="178"/>
      <c r="U26" s="178"/>
      <c r="V26" s="178"/>
      <c r="W26" s="178"/>
      <c r="X26" s="178"/>
      <c r="Y26" s="185"/>
      <c r="Z26" s="178"/>
      <c r="AA26" s="178"/>
      <c r="AB26" s="178"/>
      <c r="AC26" s="178"/>
      <c r="AD26" s="178"/>
      <c r="AE26" s="185"/>
      <c r="AF26" s="185"/>
      <c r="AG26" s="185"/>
      <c r="AH26" s="186"/>
      <c r="AI26" s="181"/>
      <c r="AJ26" s="24"/>
      <c r="AK26" s="26"/>
      <c r="AL26" s="42" t="str">
        <f>IF(OR(Table13[[#This Row],[Annual Increase Option]]="No increase",Table13[[#This Row],[Annual Increase Option]]=""),"",_xlfn.XLOOKUP(MONTH(Table13[[#This Row],[Commencement Date]]),DropdownList!$A$19:$A$30,DropdownList!$B$19:$B$30,0))</f>
        <v/>
      </c>
      <c r="AM26" s="178"/>
      <c r="AN26" s="178"/>
      <c r="AO26" s="178"/>
      <c r="AP26" s="178"/>
      <c r="AQ26" s="26"/>
      <c r="AR26" s="178"/>
      <c r="AS26" s="178"/>
      <c r="AT26" s="185"/>
      <c r="AU26" s="178"/>
      <c r="AV26" s="181"/>
      <c r="AW26" s="187"/>
      <c r="AY26" s="188">
        <f>'Onboarding Calcs'!Q23</f>
        <v>0</v>
      </c>
    </row>
    <row r="27" spans="1:51" ht="15" customHeight="1" x14ac:dyDescent="0.3">
      <c r="A27" s="190"/>
      <c r="B27" s="178"/>
      <c r="C27" s="178"/>
      <c r="D27" s="178"/>
      <c r="E27" s="78"/>
      <c r="F27" s="78"/>
      <c r="G27" s="179"/>
      <c r="H27" s="180"/>
      <c r="I27" s="181"/>
      <c r="J27" s="175" t="str">
        <f>IF(_xlfn.XLOOKUP(B27,DropdownList!$C$2:$C$8,DropdownList!$B$2:$B$8,0)=0,"",_xlfn.XLOOKUP(B27,DropdownList!$C$2:$C$8,DropdownList!$B$2:$B$8,0))</f>
        <v/>
      </c>
      <c r="K27" s="182"/>
      <c r="L27" s="183"/>
      <c r="M27" s="44">
        <f>IF('Onboarding Calcs'!N24=0,0,'Onboarding Calcs'!N24)</f>
        <v>0</v>
      </c>
      <c r="N27" s="26"/>
      <c r="O27" s="178"/>
      <c r="P27" s="178"/>
      <c r="Q27" s="184"/>
      <c r="R27" s="184"/>
      <c r="S27" s="178"/>
      <c r="T27" s="178"/>
      <c r="U27" s="178"/>
      <c r="V27" s="178"/>
      <c r="W27" s="178"/>
      <c r="X27" s="178"/>
      <c r="Y27" s="185"/>
      <c r="Z27" s="178"/>
      <c r="AA27" s="178"/>
      <c r="AB27" s="178"/>
      <c r="AC27" s="178"/>
      <c r="AD27" s="178"/>
      <c r="AE27" s="185"/>
      <c r="AF27" s="185"/>
      <c r="AG27" s="185"/>
      <c r="AH27" s="186"/>
      <c r="AI27" s="181"/>
      <c r="AJ27" s="24"/>
      <c r="AK27" s="26"/>
      <c r="AL27" s="42" t="str">
        <f>IF(OR(Table13[[#This Row],[Annual Increase Option]]="No increase",Table13[[#This Row],[Annual Increase Option]]=""),"",_xlfn.XLOOKUP(MONTH(Table13[[#This Row],[Commencement Date]]),DropdownList!$A$19:$A$30,DropdownList!$B$19:$B$30,0))</f>
        <v/>
      </c>
      <c r="AM27" s="178"/>
      <c r="AN27" s="178"/>
      <c r="AO27" s="178"/>
      <c r="AP27" s="178"/>
      <c r="AQ27" s="26"/>
      <c r="AR27" s="178"/>
      <c r="AS27" s="178"/>
      <c r="AT27" s="185"/>
      <c r="AU27" s="178"/>
      <c r="AV27" s="181"/>
      <c r="AW27" s="187"/>
      <c r="AY27" s="188">
        <f>'Onboarding Calcs'!Q24</f>
        <v>0</v>
      </c>
    </row>
    <row r="28" spans="1:51" ht="15" customHeight="1" x14ac:dyDescent="0.3">
      <c r="A28" s="190"/>
      <c r="B28" s="178"/>
      <c r="C28" s="178"/>
      <c r="D28" s="178"/>
      <c r="E28" s="78"/>
      <c r="F28" s="78"/>
      <c r="G28" s="179"/>
      <c r="H28" s="180"/>
      <c r="I28" s="181"/>
      <c r="J28" s="175" t="str">
        <f>IF(_xlfn.XLOOKUP(B28,DropdownList!$C$2:$C$8,DropdownList!$B$2:$B$8,0)=0,"",_xlfn.XLOOKUP(B28,DropdownList!$C$2:$C$8,DropdownList!$B$2:$B$8,0))</f>
        <v/>
      </c>
      <c r="K28" s="182"/>
      <c r="L28" s="183"/>
      <c r="M28" s="44">
        <f>IF('Onboarding Calcs'!N25=0,0,'Onboarding Calcs'!N25)</f>
        <v>0</v>
      </c>
      <c r="N28" s="26"/>
      <c r="O28" s="178"/>
      <c r="P28" s="178"/>
      <c r="Q28" s="184"/>
      <c r="R28" s="184"/>
      <c r="S28" s="178"/>
      <c r="T28" s="178"/>
      <c r="U28" s="178"/>
      <c r="V28" s="178"/>
      <c r="W28" s="178"/>
      <c r="X28" s="178"/>
      <c r="Y28" s="185"/>
      <c r="Z28" s="178"/>
      <c r="AA28" s="178"/>
      <c r="AB28" s="178"/>
      <c r="AC28" s="178"/>
      <c r="AD28" s="178"/>
      <c r="AE28" s="185"/>
      <c r="AF28" s="185"/>
      <c r="AG28" s="185"/>
      <c r="AH28" s="186"/>
      <c r="AI28" s="181"/>
      <c r="AJ28" s="24"/>
      <c r="AK28" s="26"/>
      <c r="AL28" s="42" t="str">
        <f>IF(OR(Table13[[#This Row],[Annual Increase Option]]="No increase",Table13[[#This Row],[Annual Increase Option]]=""),"",_xlfn.XLOOKUP(MONTH(Table13[[#This Row],[Commencement Date]]),DropdownList!$A$19:$A$30,DropdownList!$B$19:$B$30,0))</f>
        <v/>
      </c>
      <c r="AM28" s="178"/>
      <c r="AN28" s="178"/>
      <c r="AO28" s="178"/>
      <c r="AP28" s="178"/>
      <c r="AQ28" s="26"/>
      <c r="AR28" s="178"/>
      <c r="AS28" s="178"/>
      <c r="AT28" s="185"/>
      <c r="AU28" s="178"/>
      <c r="AV28" s="181"/>
      <c r="AW28" s="187"/>
      <c r="AY28" s="188">
        <f>'Onboarding Calcs'!Q25</f>
        <v>0</v>
      </c>
    </row>
    <row r="29" spans="1:51" ht="15" customHeight="1" x14ac:dyDescent="0.3">
      <c r="A29" s="190"/>
      <c r="B29" s="178"/>
      <c r="C29" s="178"/>
      <c r="D29" s="178"/>
      <c r="E29" s="78"/>
      <c r="F29" s="78"/>
      <c r="G29" s="179"/>
      <c r="H29" s="180"/>
      <c r="I29" s="181"/>
      <c r="J29" s="175" t="str">
        <f>IF(_xlfn.XLOOKUP(B29,DropdownList!$C$2:$C$8,DropdownList!$B$2:$B$8,0)=0,"",_xlfn.XLOOKUP(B29,DropdownList!$C$2:$C$8,DropdownList!$B$2:$B$8,0))</f>
        <v/>
      </c>
      <c r="K29" s="182"/>
      <c r="L29" s="183"/>
      <c r="M29" s="44">
        <f>IF('Onboarding Calcs'!N26=0,0,'Onboarding Calcs'!N26)</f>
        <v>0</v>
      </c>
      <c r="N29" s="26"/>
      <c r="O29" s="178"/>
      <c r="P29" s="178"/>
      <c r="Q29" s="184"/>
      <c r="R29" s="184"/>
      <c r="S29" s="178"/>
      <c r="T29" s="178"/>
      <c r="U29" s="178"/>
      <c r="V29" s="178"/>
      <c r="W29" s="178"/>
      <c r="X29" s="178"/>
      <c r="Y29" s="185"/>
      <c r="Z29" s="178"/>
      <c r="AA29" s="178"/>
      <c r="AB29" s="178"/>
      <c r="AC29" s="178"/>
      <c r="AD29" s="178"/>
      <c r="AE29" s="185"/>
      <c r="AF29" s="185"/>
      <c r="AG29" s="185"/>
      <c r="AH29" s="186"/>
      <c r="AI29" s="181"/>
      <c r="AJ29" s="24"/>
      <c r="AK29" s="26"/>
      <c r="AL29" s="42" t="str">
        <f>IF(OR(Table13[[#This Row],[Annual Increase Option]]="No increase",Table13[[#This Row],[Annual Increase Option]]=""),"",_xlfn.XLOOKUP(MONTH(Table13[[#This Row],[Commencement Date]]),DropdownList!$A$19:$A$30,DropdownList!$B$19:$B$30,0))</f>
        <v/>
      </c>
      <c r="AM29" s="178"/>
      <c r="AN29" s="178"/>
      <c r="AO29" s="178"/>
      <c r="AP29" s="178"/>
      <c r="AQ29" s="26"/>
      <c r="AR29" s="178"/>
      <c r="AS29" s="178"/>
      <c r="AT29" s="185"/>
      <c r="AU29" s="178"/>
      <c r="AV29" s="181"/>
      <c r="AW29" s="187"/>
      <c r="AY29" s="188">
        <f>'Onboarding Calcs'!Q26</f>
        <v>0</v>
      </c>
    </row>
    <row r="30" spans="1:51" ht="15" customHeight="1" x14ac:dyDescent="0.3">
      <c r="A30" s="190"/>
      <c r="B30" s="178"/>
      <c r="C30" s="178"/>
      <c r="D30" s="178"/>
      <c r="E30" s="78"/>
      <c r="F30" s="78"/>
      <c r="G30" s="179"/>
      <c r="H30" s="180"/>
      <c r="I30" s="181"/>
      <c r="J30" s="175" t="str">
        <f>IF(_xlfn.XLOOKUP(B30,DropdownList!$C$2:$C$8,DropdownList!$B$2:$B$8,0)=0,"",_xlfn.XLOOKUP(B30,DropdownList!$C$2:$C$8,DropdownList!$B$2:$B$8,0))</f>
        <v/>
      </c>
      <c r="K30" s="182"/>
      <c r="L30" s="183"/>
      <c r="M30" s="44">
        <f>IF('Onboarding Calcs'!N27=0,0,'Onboarding Calcs'!N27)</f>
        <v>0</v>
      </c>
      <c r="N30" s="26"/>
      <c r="O30" s="178"/>
      <c r="P30" s="178"/>
      <c r="Q30" s="184"/>
      <c r="R30" s="184"/>
      <c r="S30" s="178"/>
      <c r="T30" s="178"/>
      <c r="U30" s="178"/>
      <c r="V30" s="178"/>
      <c r="W30" s="178"/>
      <c r="X30" s="178"/>
      <c r="Y30" s="185"/>
      <c r="Z30" s="178"/>
      <c r="AA30" s="178"/>
      <c r="AB30" s="178"/>
      <c r="AC30" s="178"/>
      <c r="AD30" s="178"/>
      <c r="AE30" s="185"/>
      <c r="AF30" s="185"/>
      <c r="AG30" s="185"/>
      <c r="AH30" s="186"/>
      <c r="AI30" s="181"/>
      <c r="AJ30" s="24"/>
      <c r="AK30" s="26"/>
      <c r="AL30" s="42" t="str">
        <f>IF(OR(Table13[[#This Row],[Annual Increase Option]]="No increase",Table13[[#This Row],[Annual Increase Option]]=""),"",_xlfn.XLOOKUP(MONTH(Table13[[#This Row],[Commencement Date]]),DropdownList!$A$19:$A$30,DropdownList!$B$19:$B$30,0))</f>
        <v/>
      </c>
      <c r="AM30" s="178"/>
      <c r="AN30" s="178"/>
      <c r="AO30" s="178"/>
      <c r="AP30" s="178"/>
      <c r="AQ30" s="26"/>
      <c r="AR30" s="178"/>
      <c r="AS30" s="178"/>
      <c r="AT30" s="185"/>
      <c r="AU30" s="178"/>
      <c r="AV30" s="181"/>
      <c r="AW30" s="187"/>
      <c r="AY30" s="188">
        <f>'Onboarding Calcs'!Q27</f>
        <v>0</v>
      </c>
    </row>
    <row r="31" spans="1:51" ht="15" customHeight="1" x14ac:dyDescent="0.3">
      <c r="A31" s="190"/>
      <c r="B31" s="178"/>
      <c r="C31" s="178"/>
      <c r="D31" s="178"/>
      <c r="E31" s="78"/>
      <c r="F31" s="78"/>
      <c r="G31" s="179"/>
      <c r="H31" s="180"/>
      <c r="I31" s="181"/>
      <c r="J31" s="175" t="str">
        <f>IF(_xlfn.XLOOKUP(B31,DropdownList!$C$2:$C$8,DropdownList!$B$2:$B$8,0)=0,"",_xlfn.XLOOKUP(B31,DropdownList!$C$2:$C$8,DropdownList!$B$2:$B$8,0))</f>
        <v/>
      </c>
      <c r="K31" s="182"/>
      <c r="L31" s="183"/>
      <c r="M31" s="44">
        <f>IF('Onboarding Calcs'!N28=0,0,'Onboarding Calcs'!N28)</f>
        <v>0</v>
      </c>
      <c r="N31" s="26"/>
      <c r="O31" s="178"/>
      <c r="P31" s="178"/>
      <c r="Q31" s="184"/>
      <c r="R31" s="184"/>
      <c r="S31" s="178"/>
      <c r="T31" s="178"/>
      <c r="U31" s="178"/>
      <c r="V31" s="178"/>
      <c r="W31" s="178"/>
      <c r="X31" s="178"/>
      <c r="Y31" s="185"/>
      <c r="Z31" s="178"/>
      <c r="AA31" s="178"/>
      <c r="AB31" s="178"/>
      <c r="AC31" s="178"/>
      <c r="AD31" s="178"/>
      <c r="AE31" s="185"/>
      <c r="AF31" s="185"/>
      <c r="AG31" s="185"/>
      <c r="AH31" s="186"/>
      <c r="AI31" s="181"/>
      <c r="AJ31" s="24"/>
      <c r="AK31" s="26"/>
      <c r="AL31" s="42" t="str">
        <f>IF(OR(Table13[[#This Row],[Annual Increase Option]]="No increase",Table13[[#This Row],[Annual Increase Option]]=""),"",_xlfn.XLOOKUP(MONTH(Table13[[#This Row],[Commencement Date]]),DropdownList!$A$19:$A$30,DropdownList!$B$19:$B$30,0))</f>
        <v/>
      </c>
      <c r="AM31" s="178"/>
      <c r="AN31" s="178"/>
      <c r="AO31" s="178"/>
      <c r="AP31" s="178"/>
      <c r="AQ31" s="26"/>
      <c r="AR31" s="178"/>
      <c r="AS31" s="178"/>
      <c r="AT31" s="185"/>
      <c r="AU31" s="178"/>
      <c r="AV31" s="181"/>
      <c r="AW31" s="187"/>
      <c r="AY31" s="188">
        <f>'Onboarding Calcs'!Q28</f>
        <v>0</v>
      </c>
    </row>
    <row r="32" spans="1:51" ht="15" customHeight="1" x14ac:dyDescent="0.3">
      <c r="A32" s="190"/>
      <c r="B32" s="178"/>
      <c r="C32" s="178"/>
      <c r="D32" s="178"/>
      <c r="E32" s="78"/>
      <c r="F32" s="78"/>
      <c r="G32" s="179"/>
      <c r="H32" s="180"/>
      <c r="I32" s="181"/>
      <c r="J32" s="175" t="str">
        <f>IF(_xlfn.XLOOKUP(B32,DropdownList!$C$2:$C$8,DropdownList!$B$2:$B$8,0)=0,"",_xlfn.XLOOKUP(B32,DropdownList!$C$2:$C$8,DropdownList!$B$2:$B$8,0))</f>
        <v/>
      </c>
      <c r="K32" s="182"/>
      <c r="L32" s="183"/>
      <c r="M32" s="44">
        <f>IF('Onboarding Calcs'!N29=0,0,'Onboarding Calcs'!N29)</f>
        <v>0</v>
      </c>
      <c r="N32" s="26"/>
      <c r="O32" s="178"/>
      <c r="P32" s="178"/>
      <c r="Q32" s="184"/>
      <c r="R32" s="184"/>
      <c r="S32" s="178"/>
      <c r="T32" s="178"/>
      <c r="U32" s="178"/>
      <c r="V32" s="178"/>
      <c r="W32" s="178"/>
      <c r="X32" s="178"/>
      <c r="Y32" s="185"/>
      <c r="Z32" s="178"/>
      <c r="AA32" s="178"/>
      <c r="AB32" s="178"/>
      <c r="AC32" s="178"/>
      <c r="AD32" s="178"/>
      <c r="AE32" s="185"/>
      <c r="AF32" s="185"/>
      <c r="AG32" s="185"/>
      <c r="AH32" s="186"/>
      <c r="AI32" s="181"/>
      <c r="AJ32" s="24"/>
      <c r="AK32" s="26"/>
      <c r="AL32" s="42" t="str">
        <f>IF(OR(Table13[[#This Row],[Annual Increase Option]]="No increase",Table13[[#This Row],[Annual Increase Option]]=""),"",_xlfn.XLOOKUP(MONTH(Table13[[#This Row],[Commencement Date]]),DropdownList!$A$19:$A$30,DropdownList!$B$19:$B$30,0))</f>
        <v/>
      </c>
      <c r="AM32" s="178"/>
      <c r="AN32" s="178"/>
      <c r="AO32" s="178"/>
      <c r="AP32" s="178"/>
      <c r="AQ32" s="26"/>
      <c r="AR32" s="178"/>
      <c r="AS32" s="178"/>
      <c r="AT32" s="185"/>
      <c r="AU32" s="178"/>
      <c r="AV32" s="181"/>
      <c r="AW32" s="187"/>
      <c r="AY32" s="188">
        <f>'Onboarding Calcs'!Q29</f>
        <v>0</v>
      </c>
    </row>
    <row r="33" spans="1:51" ht="15" customHeight="1" x14ac:dyDescent="0.3">
      <c r="A33" s="190"/>
      <c r="B33" s="178"/>
      <c r="C33" s="178"/>
      <c r="D33" s="178"/>
      <c r="E33" s="78"/>
      <c r="F33" s="78"/>
      <c r="G33" s="179"/>
      <c r="H33" s="180"/>
      <c r="I33" s="181"/>
      <c r="J33" s="175" t="str">
        <f>IF(_xlfn.XLOOKUP(B33,DropdownList!$C$2:$C$8,DropdownList!$B$2:$B$8,0)=0,"",_xlfn.XLOOKUP(B33,DropdownList!$C$2:$C$8,DropdownList!$B$2:$B$8,0))</f>
        <v/>
      </c>
      <c r="K33" s="182"/>
      <c r="L33" s="183"/>
      <c r="M33" s="44">
        <f>IF('Onboarding Calcs'!N30=0,0,'Onboarding Calcs'!N30)</f>
        <v>0</v>
      </c>
      <c r="N33" s="26"/>
      <c r="O33" s="178"/>
      <c r="P33" s="178"/>
      <c r="Q33" s="184"/>
      <c r="R33" s="184"/>
      <c r="S33" s="178"/>
      <c r="T33" s="178"/>
      <c r="U33" s="178"/>
      <c r="V33" s="178"/>
      <c r="W33" s="178"/>
      <c r="X33" s="178"/>
      <c r="Y33" s="185"/>
      <c r="Z33" s="178"/>
      <c r="AA33" s="178"/>
      <c r="AB33" s="178"/>
      <c r="AC33" s="178"/>
      <c r="AD33" s="178"/>
      <c r="AE33" s="185"/>
      <c r="AF33" s="185"/>
      <c r="AG33" s="185"/>
      <c r="AH33" s="186"/>
      <c r="AI33" s="181"/>
      <c r="AJ33" s="24"/>
      <c r="AK33" s="26"/>
      <c r="AL33" s="42" t="str">
        <f>IF(OR(Table13[[#This Row],[Annual Increase Option]]="No increase",Table13[[#This Row],[Annual Increase Option]]=""),"",_xlfn.XLOOKUP(MONTH(Table13[[#This Row],[Commencement Date]]),DropdownList!$A$19:$A$30,DropdownList!$B$19:$B$30,0))</f>
        <v/>
      </c>
      <c r="AM33" s="178"/>
      <c r="AN33" s="178"/>
      <c r="AO33" s="178"/>
      <c r="AP33" s="178"/>
      <c r="AQ33" s="26"/>
      <c r="AR33" s="178"/>
      <c r="AS33" s="178"/>
      <c r="AT33" s="185"/>
      <c r="AU33" s="178"/>
      <c r="AV33" s="181"/>
      <c r="AW33" s="187"/>
      <c r="AY33" s="188">
        <f>'Onboarding Calcs'!Q30</f>
        <v>0</v>
      </c>
    </row>
    <row r="34" spans="1:51" ht="15" customHeight="1" x14ac:dyDescent="0.3">
      <c r="A34" s="190"/>
      <c r="B34" s="178"/>
      <c r="C34" s="178"/>
      <c r="D34" s="178"/>
      <c r="E34" s="78"/>
      <c r="F34" s="78"/>
      <c r="G34" s="179"/>
      <c r="H34" s="180"/>
      <c r="I34" s="181"/>
      <c r="J34" s="175" t="str">
        <f>IF(_xlfn.XLOOKUP(B34,DropdownList!$C$2:$C$8,DropdownList!$B$2:$B$8,0)=0,"",_xlfn.XLOOKUP(B34,DropdownList!$C$2:$C$8,DropdownList!$B$2:$B$8,0))</f>
        <v/>
      </c>
      <c r="K34" s="182"/>
      <c r="L34" s="183"/>
      <c r="M34" s="44">
        <f>IF('Onboarding Calcs'!N31=0,0,'Onboarding Calcs'!N31)</f>
        <v>0</v>
      </c>
      <c r="N34" s="26"/>
      <c r="O34" s="178"/>
      <c r="P34" s="178"/>
      <c r="Q34" s="184"/>
      <c r="R34" s="184"/>
      <c r="S34" s="178"/>
      <c r="T34" s="178"/>
      <c r="U34" s="178"/>
      <c r="V34" s="178"/>
      <c r="W34" s="178"/>
      <c r="X34" s="178"/>
      <c r="Y34" s="185"/>
      <c r="Z34" s="178"/>
      <c r="AA34" s="178"/>
      <c r="AB34" s="178"/>
      <c r="AC34" s="178"/>
      <c r="AD34" s="178"/>
      <c r="AE34" s="185"/>
      <c r="AF34" s="185"/>
      <c r="AG34" s="185"/>
      <c r="AH34" s="186"/>
      <c r="AI34" s="181"/>
      <c r="AJ34" s="24"/>
      <c r="AK34" s="26"/>
      <c r="AL34" s="42" t="str">
        <f>IF(OR(Table13[[#This Row],[Annual Increase Option]]="No increase",Table13[[#This Row],[Annual Increase Option]]=""),"",_xlfn.XLOOKUP(MONTH(Table13[[#This Row],[Commencement Date]]),DropdownList!$A$19:$A$30,DropdownList!$B$19:$B$30,0))</f>
        <v/>
      </c>
      <c r="AM34" s="178"/>
      <c r="AN34" s="178"/>
      <c r="AO34" s="178"/>
      <c r="AP34" s="178"/>
      <c r="AQ34" s="26"/>
      <c r="AR34" s="178"/>
      <c r="AS34" s="178"/>
      <c r="AT34" s="185"/>
      <c r="AU34" s="178"/>
      <c r="AV34" s="181"/>
      <c r="AW34" s="187"/>
      <c r="AY34" s="188">
        <f>'Onboarding Calcs'!Q31</f>
        <v>0</v>
      </c>
    </row>
    <row r="35" spans="1:51" ht="15" customHeight="1" x14ac:dyDescent="0.3">
      <c r="A35" s="190"/>
      <c r="B35" s="178"/>
      <c r="C35" s="178"/>
      <c r="D35" s="178"/>
      <c r="E35" s="78"/>
      <c r="F35" s="78"/>
      <c r="G35" s="179"/>
      <c r="H35" s="180"/>
      <c r="I35" s="181"/>
      <c r="J35" s="175" t="str">
        <f>IF(_xlfn.XLOOKUP(B35,DropdownList!$C$2:$C$8,DropdownList!$B$2:$B$8,0)=0,"",_xlfn.XLOOKUP(B35,DropdownList!$C$2:$C$8,DropdownList!$B$2:$B$8,0))</f>
        <v/>
      </c>
      <c r="K35" s="182"/>
      <c r="L35" s="183"/>
      <c r="M35" s="44">
        <f>IF('Onboarding Calcs'!N32=0,0,'Onboarding Calcs'!N32)</f>
        <v>0</v>
      </c>
      <c r="N35" s="26"/>
      <c r="O35" s="178"/>
      <c r="P35" s="178"/>
      <c r="Q35" s="184"/>
      <c r="R35" s="184"/>
      <c r="S35" s="178"/>
      <c r="T35" s="178"/>
      <c r="U35" s="178"/>
      <c r="V35" s="178"/>
      <c r="W35" s="178"/>
      <c r="X35" s="178"/>
      <c r="Y35" s="185"/>
      <c r="Z35" s="178"/>
      <c r="AA35" s="178"/>
      <c r="AB35" s="178"/>
      <c r="AC35" s="178"/>
      <c r="AD35" s="178"/>
      <c r="AE35" s="185"/>
      <c r="AF35" s="185"/>
      <c r="AG35" s="185"/>
      <c r="AH35" s="186"/>
      <c r="AI35" s="181"/>
      <c r="AJ35" s="24"/>
      <c r="AK35" s="26"/>
      <c r="AL35" s="42" t="str">
        <f>IF(OR(Table13[[#This Row],[Annual Increase Option]]="No increase",Table13[[#This Row],[Annual Increase Option]]=""),"",_xlfn.XLOOKUP(MONTH(Table13[[#This Row],[Commencement Date]]),DropdownList!$A$19:$A$30,DropdownList!$B$19:$B$30,0))</f>
        <v/>
      </c>
      <c r="AM35" s="178"/>
      <c r="AN35" s="178"/>
      <c r="AO35" s="178"/>
      <c r="AP35" s="178"/>
      <c r="AQ35" s="26"/>
      <c r="AR35" s="178"/>
      <c r="AS35" s="178"/>
      <c r="AT35" s="185"/>
      <c r="AU35" s="178"/>
      <c r="AV35" s="181"/>
      <c r="AW35" s="187"/>
      <c r="AY35" s="188">
        <f>'Onboarding Calcs'!Q32</f>
        <v>0</v>
      </c>
    </row>
    <row r="36" spans="1:51" ht="15" customHeight="1" x14ac:dyDescent="0.3">
      <c r="A36" s="190"/>
      <c r="B36" s="178"/>
      <c r="C36" s="178"/>
      <c r="D36" s="178"/>
      <c r="E36" s="78"/>
      <c r="F36" s="78"/>
      <c r="G36" s="179"/>
      <c r="H36" s="180"/>
      <c r="I36" s="181"/>
      <c r="J36" s="175" t="str">
        <f>IF(_xlfn.XLOOKUP(B36,DropdownList!$C$2:$C$8,DropdownList!$B$2:$B$8,0)=0,"",_xlfn.XLOOKUP(B36,DropdownList!$C$2:$C$8,DropdownList!$B$2:$B$8,0))</f>
        <v/>
      </c>
      <c r="K36" s="182"/>
      <c r="L36" s="183"/>
      <c r="M36" s="44">
        <f>IF('Onboarding Calcs'!N33=0,0,'Onboarding Calcs'!N33)</f>
        <v>0</v>
      </c>
      <c r="N36" s="26"/>
      <c r="O36" s="178"/>
      <c r="P36" s="178"/>
      <c r="Q36" s="184"/>
      <c r="R36" s="184"/>
      <c r="S36" s="178"/>
      <c r="T36" s="178"/>
      <c r="U36" s="178"/>
      <c r="V36" s="178"/>
      <c r="W36" s="178"/>
      <c r="X36" s="178"/>
      <c r="Y36" s="185"/>
      <c r="Z36" s="178"/>
      <c r="AA36" s="178"/>
      <c r="AB36" s="178"/>
      <c r="AC36" s="178"/>
      <c r="AD36" s="178"/>
      <c r="AE36" s="185"/>
      <c r="AF36" s="185"/>
      <c r="AG36" s="185"/>
      <c r="AH36" s="186"/>
      <c r="AI36" s="181"/>
      <c r="AJ36" s="24"/>
      <c r="AK36" s="26"/>
      <c r="AL36" s="42" t="str">
        <f>IF(OR(Table13[[#This Row],[Annual Increase Option]]="No increase",Table13[[#This Row],[Annual Increase Option]]=""),"",_xlfn.XLOOKUP(MONTH(Table13[[#This Row],[Commencement Date]]),DropdownList!$A$19:$A$30,DropdownList!$B$19:$B$30,0))</f>
        <v/>
      </c>
      <c r="AM36" s="178"/>
      <c r="AN36" s="178"/>
      <c r="AO36" s="178"/>
      <c r="AP36" s="178"/>
      <c r="AQ36" s="26"/>
      <c r="AR36" s="178"/>
      <c r="AS36" s="178"/>
      <c r="AT36" s="185"/>
      <c r="AU36" s="178"/>
      <c r="AV36" s="181"/>
      <c r="AW36" s="187"/>
      <c r="AY36" s="188">
        <f>'Onboarding Calcs'!Q33</f>
        <v>0</v>
      </c>
    </row>
    <row r="37" spans="1:51" ht="15" customHeight="1" x14ac:dyDescent="0.3">
      <c r="A37" s="190"/>
      <c r="B37" s="178"/>
      <c r="C37" s="178"/>
      <c r="D37" s="178"/>
      <c r="E37" s="78"/>
      <c r="F37" s="78"/>
      <c r="G37" s="179"/>
      <c r="H37" s="180"/>
      <c r="I37" s="181"/>
      <c r="J37" s="175" t="str">
        <f>IF(_xlfn.XLOOKUP(B37,DropdownList!$C$2:$C$8,DropdownList!$B$2:$B$8,0)=0,"",_xlfn.XLOOKUP(B37,DropdownList!$C$2:$C$8,DropdownList!$B$2:$B$8,0))</f>
        <v/>
      </c>
      <c r="K37" s="182"/>
      <c r="L37" s="183"/>
      <c r="M37" s="44">
        <f>IF('Onboarding Calcs'!N34=0,0,'Onboarding Calcs'!N34)</f>
        <v>0</v>
      </c>
      <c r="N37" s="26"/>
      <c r="O37" s="178"/>
      <c r="P37" s="178"/>
      <c r="Q37" s="184"/>
      <c r="R37" s="184"/>
      <c r="S37" s="178"/>
      <c r="T37" s="178"/>
      <c r="U37" s="178"/>
      <c r="V37" s="178"/>
      <c r="W37" s="178"/>
      <c r="X37" s="178"/>
      <c r="Y37" s="185"/>
      <c r="Z37" s="178"/>
      <c r="AA37" s="178"/>
      <c r="AB37" s="178"/>
      <c r="AC37" s="178"/>
      <c r="AD37" s="178"/>
      <c r="AE37" s="185"/>
      <c r="AF37" s="185"/>
      <c r="AG37" s="185"/>
      <c r="AH37" s="186"/>
      <c r="AI37" s="181"/>
      <c r="AJ37" s="24"/>
      <c r="AK37" s="26"/>
      <c r="AL37" s="42" t="str">
        <f>IF(OR(Table13[[#This Row],[Annual Increase Option]]="No increase",Table13[[#This Row],[Annual Increase Option]]=""),"",_xlfn.XLOOKUP(MONTH(Table13[[#This Row],[Commencement Date]]),DropdownList!$A$19:$A$30,DropdownList!$B$19:$B$30,0))</f>
        <v/>
      </c>
      <c r="AM37" s="178"/>
      <c r="AN37" s="178"/>
      <c r="AO37" s="178"/>
      <c r="AP37" s="178"/>
      <c r="AQ37" s="26"/>
      <c r="AR37" s="178"/>
      <c r="AS37" s="178"/>
      <c r="AT37" s="185"/>
      <c r="AU37" s="178"/>
      <c r="AV37" s="181"/>
      <c r="AW37" s="187"/>
      <c r="AY37" s="188">
        <f>'Onboarding Calcs'!Q34</f>
        <v>0</v>
      </c>
    </row>
    <row r="38" spans="1:51" ht="15" customHeight="1" x14ac:dyDescent="0.3">
      <c r="A38" s="190"/>
      <c r="B38" s="178"/>
      <c r="C38" s="178"/>
      <c r="D38" s="178"/>
      <c r="E38" s="78"/>
      <c r="F38" s="78"/>
      <c r="G38" s="179"/>
      <c r="H38" s="180"/>
      <c r="I38" s="181"/>
      <c r="J38" s="175" t="str">
        <f>IF(_xlfn.XLOOKUP(B38,DropdownList!$C$2:$C$8,DropdownList!$B$2:$B$8,0)=0,"",_xlfn.XLOOKUP(B38,DropdownList!$C$2:$C$8,DropdownList!$B$2:$B$8,0))</f>
        <v/>
      </c>
      <c r="K38" s="182"/>
      <c r="L38" s="183"/>
      <c r="M38" s="44">
        <f>IF('Onboarding Calcs'!N35=0,0,'Onboarding Calcs'!N35)</f>
        <v>0</v>
      </c>
      <c r="N38" s="26"/>
      <c r="O38" s="178"/>
      <c r="P38" s="178"/>
      <c r="Q38" s="184"/>
      <c r="R38" s="184"/>
      <c r="S38" s="178"/>
      <c r="T38" s="178"/>
      <c r="U38" s="178"/>
      <c r="V38" s="178"/>
      <c r="W38" s="178"/>
      <c r="X38" s="178"/>
      <c r="Y38" s="185"/>
      <c r="Z38" s="178"/>
      <c r="AA38" s="178"/>
      <c r="AB38" s="178"/>
      <c r="AC38" s="178"/>
      <c r="AD38" s="178"/>
      <c r="AE38" s="185"/>
      <c r="AF38" s="185"/>
      <c r="AG38" s="185"/>
      <c r="AH38" s="186"/>
      <c r="AI38" s="181"/>
      <c r="AJ38" s="24"/>
      <c r="AK38" s="26"/>
      <c r="AL38" s="42" t="str">
        <f>IF(OR(Table13[[#This Row],[Annual Increase Option]]="No increase",Table13[[#This Row],[Annual Increase Option]]=""),"",_xlfn.XLOOKUP(MONTH(Table13[[#This Row],[Commencement Date]]),DropdownList!$A$19:$A$30,DropdownList!$B$19:$B$30,0))</f>
        <v/>
      </c>
      <c r="AM38" s="178"/>
      <c r="AN38" s="178"/>
      <c r="AO38" s="178"/>
      <c r="AP38" s="178"/>
      <c r="AQ38" s="26"/>
      <c r="AR38" s="178"/>
      <c r="AS38" s="178"/>
      <c r="AT38" s="185"/>
      <c r="AU38" s="178"/>
      <c r="AV38" s="181"/>
      <c r="AW38" s="187"/>
      <c r="AY38" s="188">
        <f>'Onboarding Calcs'!Q35</f>
        <v>0</v>
      </c>
    </row>
    <row r="39" spans="1:51" ht="15" customHeight="1" x14ac:dyDescent="0.3">
      <c r="A39" s="190"/>
      <c r="B39" s="178"/>
      <c r="C39" s="178"/>
      <c r="D39" s="178"/>
      <c r="E39" s="78"/>
      <c r="F39" s="78"/>
      <c r="G39" s="179"/>
      <c r="H39" s="180"/>
      <c r="I39" s="181"/>
      <c r="J39" s="175" t="str">
        <f>IF(_xlfn.XLOOKUP(B39,DropdownList!$C$2:$C$8,DropdownList!$B$2:$B$8,0)=0,"",_xlfn.XLOOKUP(B39,DropdownList!$C$2:$C$8,DropdownList!$B$2:$B$8,0))</f>
        <v/>
      </c>
      <c r="K39" s="182"/>
      <c r="L39" s="183"/>
      <c r="M39" s="44">
        <f>IF('Onboarding Calcs'!N36=0,0,'Onboarding Calcs'!N36)</f>
        <v>0</v>
      </c>
      <c r="N39" s="26"/>
      <c r="O39" s="178"/>
      <c r="P39" s="178"/>
      <c r="Q39" s="184"/>
      <c r="R39" s="184"/>
      <c r="S39" s="178"/>
      <c r="T39" s="178"/>
      <c r="U39" s="178"/>
      <c r="V39" s="178"/>
      <c r="W39" s="178"/>
      <c r="X39" s="178"/>
      <c r="Y39" s="185"/>
      <c r="Z39" s="178"/>
      <c r="AA39" s="178"/>
      <c r="AB39" s="178"/>
      <c r="AC39" s="178"/>
      <c r="AD39" s="178"/>
      <c r="AE39" s="185"/>
      <c r="AF39" s="185"/>
      <c r="AG39" s="185"/>
      <c r="AH39" s="186"/>
      <c r="AI39" s="181"/>
      <c r="AJ39" s="24"/>
      <c r="AK39" s="26"/>
      <c r="AL39" s="42" t="str">
        <f>IF(OR(Table13[[#This Row],[Annual Increase Option]]="No increase",Table13[[#This Row],[Annual Increase Option]]=""),"",_xlfn.XLOOKUP(MONTH(Table13[[#This Row],[Commencement Date]]),DropdownList!$A$19:$A$30,DropdownList!$B$19:$B$30,0))</f>
        <v/>
      </c>
      <c r="AM39" s="178"/>
      <c r="AN39" s="178"/>
      <c r="AO39" s="178"/>
      <c r="AP39" s="178"/>
      <c r="AQ39" s="26"/>
      <c r="AR39" s="178"/>
      <c r="AS39" s="178"/>
      <c r="AT39" s="185"/>
      <c r="AU39" s="178"/>
      <c r="AV39" s="181"/>
      <c r="AW39" s="187"/>
      <c r="AY39" s="188">
        <f>'Onboarding Calcs'!Q36</f>
        <v>0</v>
      </c>
    </row>
    <row r="40" spans="1:51" ht="15" customHeight="1" x14ac:dyDescent="0.3">
      <c r="A40" s="190"/>
      <c r="B40" s="178"/>
      <c r="C40" s="178"/>
      <c r="D40" s="178"/>
      <c r="E40" s="78"/>
      <c r="F40" s="78"/>
      <c r="G40" s="179"/>
      <c r="H40" s="180"/>
      <c r="I40" s="181"/>
      <c r="J40" s="175" t="str">
        <f>IF(_xlfn.XLOOKUP(B40,DropdownList!$C$2:$C$8,DropdownList!$B$2:$B$8,0)=0,"",_xlfn.XLOOKUP(B40,DropdownList!$C$2:$C$8,DropdownList!$B$2:$B$8,0))</f>
        <v/>
      </c>
      <c r="K40" s="182"/>
      <c r="L40" s="183"/>
      <c r="M40" s="44">
        <f>IF('Onboarding Calcs'!N37=0,0,'Onboarding Calcs'!N37)</f>
        <v>0</v>
      </c>
      <c r="N40" s="26"/>
      <c r="O40" s="178"/>
      <c r="P40" s="178"/>
      <c r="Q40" s="184"/>
      <c r="R40" s="184"/>
      <c r="S40" s="178"/>
      <c r="T40" s="178"/>
      <c r="U40" s="178"/>
      <c r="V40" s="178"/>
      <c r="W40" s="178"/>
      <c r="X40" s="178"/>
      <c r="Y40" s="185"/>
      <c r="Z40" s="178"/>
      <c r="AA40" s="178"/>
      <c r="AB40" s="178"/>
      <c r="AC40" s="178"/>
      <c r="AD40" s="178"/>
      <c r="AE40" s="185"/>
      <c r="AF40" s="185"/>
      <c r="AG40" s="185"/>
      <c r="AH40" s="186"/>
      <c r="AI40" s="181"/>
      <c r="AJ40" s="24"/>
      <c r="AK40" s="26"/>
      <c r="AL40" s="42" t="str">
        <f>IF(OR(Table13[[#This Row],[Annual Increase Option]]="No increase",Table13[[#This Row],[Annual Increase Option]]=""),"",_xlfn.XLOOKUP(MONTH(Table13[[#This Row],[Commencement Date]]),DropdownList!$A$19:$A$30,DropdownList!$B$19:$B$30,0))</f>
        <v/>
      </c>
      <c r="AM40" s="178"/>
      <c r="AN40" s="178"/>
      <c r="AO40" s="178"/>
      <c r="AP40" s="178"/>
      <c r="AQ40" s="26"/>
      <c r="AR40" s="178"/>
      <c r="AS40" s="178"/>
      <c r="AT40" s="185"/>
      <c r="AU40" s="178"/>
      <c r="AV40" s="181"/>
      <c r="AW40" s="187"/>
      <c r="AY40" s="188">
        <f>'Onboarding Calcs'!Q37</f>
        <v>0</v>
      </c>
    </row>
    <row r="41" spans="1:51" ht="15" customHeight="1" x14ac:dyDescent="0.3">
      <c r="A41" s="190"/>
      <c r="B41" s="178"/>
      <c r="C41" s="178"/>
      <c r="D41" s="178"/>
      <c r="E41" s="78"/>
      <c r="F41" s="78"/>
      <c r="G41" s="179"/>
      <c r="H41" s="180"/>
      <c r="I41" s="181"/>
      <c r="J41" s="175" t="str">
        <f>IF(_xlfn.XLOOKUP(B41,DropdownList!$C$2:$C$8,DropdownList!$B$2:$B$8,0)=0,"",_xlfn.XLOOKUP(B41,DropdownList!$C$2:$C$8,DropdownList!$B$2:$B$8,0))</f>
        <v/>
      </c>
      <c r="K41" s="182"/>
      <c r="L41" s="183"/>
      <c r="M41" s="44">
        <f>IF('Onboarding Calcs'!N38=0,0,'Onboarding Calcs'!N38)</f>
        <v>0</v>
      </c>
      <c r="N41" s="26"/>
      <c r="O41" s="178"/>
      <c r="P41" s="178"/>
      <c r="Q41" s="184"/>
      <c r="R41" s="184"/>
      <c r="S41" s="178"/>
      <c r="T41" s="178"/>
      <c r="U41" s="178"/>
      <c r="V41" s="178"/>
      <c r="W41" s="178"/>
      <c r="X41" s="178"/>
      <c r="Y41" s="185"/>
      <c r="Z41" s="178"/>
      <c r="AA41" s="178"/>
      <c r="AB41" s="178"/>
      <c r="AC41" s="178"/>
      <c r="AD41" s="178"/>
      <c r="AE41" s="185"/>
      <c r="AF41" s="185"/>
      <c r="AG41" s="185"/>
      <c r="AH41" s="186"/>
      <c r="AI41" s="181"/>
      <c r="AJ41" s="24"/>
      <c r="AK41" s="26"/>
      <c r="AL41" s="42" t="str">
        <f>IF(OR(Table13[[#This Row],[Annual Increase Option]]="No increase",Table13[[#This Row],[Annual Increase Option]]=""),"",_xlfn.XLOOKUP(MONTH(Table13[[#This Row],[Commencement Date]]),DropdownList!$A$19:$A$30,DropdownList!$B$19:$B$30,0))</f>
        <v/>
      </c>
      <c r="AM41" s="178"/>
      <c r="AN41" s="178"/>
      <c r="AO41" s="178"/>
      <c r="AP41" s="178"/>
      <c r="AQ41" s="26"/>
      <c r="AR41" s="178"/>
      <c r="AS41" s="178"/>
      <c r="AT41" s="185"/>
      <c r="AU41" s="178"/>
      <c r="AV41" s="181"/>
      <c r="AW41" s="187"/>
      <c r="AY41" s="188">
        <f>'Onboarding Calcs'!Q38</f>
        <v>0</v>
      </c>
    </row>
    <row r="42" spans="1:51" ht="15" customHeight="1" x14ac:dyDescent="0.3">
      <c r="A42" s="190"/>
      <c r="B42" s="178"/>
      <c r="C42" s="178"/>
      <c r="D42" s="178"/>
      <c r="E42" s="78"/>
      <c r="F42" s="78"/>
      <c r="G42" s="179"/>
      <c r="H42" s="180"/>
      <c r="I42" s="181"/>
      <c r="J42" s="175" t="str">
        <f>IF(_xlfn.XLOOKUP(B42,DropdownList!$C$2:$C$8,DropdownList!$B$2:$B$8,0)=0,"",_xlfn.XLOOKUP(B42,DropdownList!$C$2:$C$8,DropdownList!$B$2:$B$8,0))</f>
        <v/>
      </c>
      <c r="K42" s="182"/>
      <c r="L42" s="183"/>
      <c r="M42" s="44">
        <f>IF('Onboarding Calcs'!N39=0,0,'Onboarding Calcs'!N39)</f>
        <v>0</v>
      </c>
      <c r="N42" s="26"/>
      <c r="O42" s="178"/>
      <c r="P42" s="178"/>
      <c r="Q42" s="184"/>
      <c r="R42" s="184"/>
      <c r="S42" s="178"/>
      <c r="T42" s="178"/>
      <c r="U42" s="178"/>
      <c r="V42" s="178"/>
      <c r="W42" s="178"/>
      <c r="X42" s="178"/>
      <c r="Y42" s="185"/>
      <c r="Z42" s="178"/>
      <c r="AA42" s="178"/>
      <c r="AB42" s="178"/>
      <c r="AC42" s="178"/>
      <c r="AD42" s="178"/>
      <c r="AE42" s="185"/>
      <c r="AF42" s="185"/>
      <c r="AG42" s="185"/>
      <c r="AH42" s="186"/>
      <c r="AI42" s="181"/>
      <c r="AJ42" s="24"/>
      <c r="AK42" s="26"/>
      <c r="AL42" s="42" t="str">
        <f>IF(OR(Table13[[#This Row],[Annual Increase Option]]="No increase",Table13[[#This Row],[Annual Increase Option]]=""),"",_xlfn.XLOOKUP(MONTH(Table13[[#This Row],[Commencement Date]]),DropdownList!$A$19:$A$30,DropdownList!$B$19:$B$30,0))</f>
        <v/>
      </c>
      <c r="AM42" s="178"/>
      <c r="AN42" s="178"/>
      <c r="AO42" s="178"/>
      <c r="AP42" s="178"/>
      <c r="AQ42" s="26"/>
      <c r="AR42" s="178"/>
      <c r="AS42" s="178"/>
      <c r="AT42" s="185"/>
      <c r="AU42" s="178"/>
      <c r="AV42" s="181"/>
      <c r="AW42" s="187"/>
      <c r="AY42" s="188">
        <f>'Onboarding Calcs'!Q39</f>
        <v>0</v>
      </c>
    </row>
    <row r="43" spans="1:51" ht="15" customHeight="1" x14ac:dyDescent="0.3">
      <c r="A43" s="190"/>
      <c r="B43" s="178"/>
      <c r="C43" s="178"/>
      <c r="D43" s="178"/>
      <c r="E43" s="78"/>
      <c r="F43" s="78"/>
      <c r="G43" s="179"/>
      <c r="H43" s="180"/>
      <c r="I43" s="181"/>
      <c r="J43" s="175" t="str">
        <f>IF(_xlfn.XLOOKUP(B43,DropdownList!$C$2:$C$8,DropdownList!$B$2:$B$8,0)=0,"",_xlfn.XLOOKUP(B43,DropdownList!$C$2:$C$8,DropdownList!$B$2:$B$8,0))</f>
        <v/>
      </c>
      <c r="K43" s="182"/>
      <c r="L43" s="183"/>
      <c r="M43" s="44">
        <f>IF('Onboarding Calcs'!N40=0,0,'Onboarding Calcs'!N40)</f>
        <v>0</v>
      </c>
      <c r="N43" s="26"/>
      <c r="O43" s="178"/>
      <c r="P43" s="178"/>
      <c r="Q43" s="184"/>
      <c r="R43" s="184"/>
      <c r="S43" s="178"/>
      <c r="T43" s="178"/>
      <c r="U43" s="178"/>
      <c r="V43" s="178"/>
      <c r="W43" s="178"/>
      <c r="X43" s="178"/>
      <c r="Y43" s="185"/>
      <c r="Z43" s="178"/>
      <c r="AA43" s="178"/>
      <c r="AB43" s="178"/>
      <c r="AC43" s="178"/>
      <c r="AD43" s="178"/>
      <c r="AE43" s="185"/>
      <c r="AF43" s="185"/>
      <c r="AG43" s="185"/>
      <c r="AH43" s="186"/>
      <c r="AI43" s="181"/>
      <c r="AJ43" s="24"/>
      <c r="AK43" s="26"/>
      <c r="AL43" s="42" t="str">
        <f>IF(OR(Table13[[#This Row],[Annual Increase Option]]="No increase",Table13[[#This Row],[Annual Increase Option]]=""),"",_xlfn.XLOOKUP(MONTH(Table13[[#This Row],[Commencement Date]]),DropdownList!$A$19:$A$30,DropdownList!$B$19:$B$30,0))</f>
        <v/>
      </c>
      <c r="AM43" s="178"/>
      <c r="AN43" s="178"/>
      <c r="AO43" s="178"/>
      <c r="AP43" s="178"/>
      <c r="AQ43" s="26"/>
      <c r="AR43" s="178"/>
      <c r="AS43" s="178"/>
      <c r="AT43" s="185"/>
      <c r="AU43" s="178"/>
      <c r="AV43" s="181"/>
      <c r="AW43" s="187"/>
      <c r="AY43" s="188">
        <f>'Onboarding Calcs'!Q40</f>
        <v>0</v>
      </c>
    </row>
    <row r="44" spans="1:51" ht="15" customHeight="1" x14ac:dyDescent="0.3">
      <c r="A44" s="190"/>
      <c r="B44" s="178"/>
      <c r="C44" s="178"/>
      <c r="D44" s="178"/>
      <c r="E44" s="78"/>
      <c r="F44" s="78"/>
      <c r="G44" s="179"/>
      <c r="H44" s="180"/>
      <c r="I44" s="181"/>
      <c r="J44" s="175" t="str">
        <f>IF(_xlfn.XLOOKUP(B44,DropdownList!$C$2:$C$8,DropdownList!$B$2:$B$8,0)=0,"",_xlfn.XLOOKUP(B44,DropdownList!$C$2:$C$8,DropdownList!$B$2:$B$8,0))</f>
        <v/>
      </c>
      <c r="K44" s="182"/>
      <c r="L44" s="183"/>
      <c r="M44" s="44">
        <f>IF('Onboarding Calcs'!N41=0,0,'Onboarding Calcs'!N41)</f>
        <v>0</v>
      </c>
      <c r="N44" s="26"/>
      <c r="O44" s="178"/>
      <c r="P44" s="178"/>
      <c r="Q44" s="184"/>
      <c r="R44" s="184"/>
      <c r="S44" s="178"/>
      <c r="T44" s="178"/>
      <c r="U44" s="178"/>
      <c r="V44" s="178"/>
      <c r="W44" s="178"/>
      <c r="X44" s="178"/>
      <c r="Y44" s="185"/>
      <c r="Z44" s="178"/>
      <c r="AA44" s="178"/>
      <c r="AB44" s="178"/>
      <c r="AC44" s="178"/>
      <c r="AD44" s="178"/>
      <c r="AE44" s="185"/>
      <c r="AF44" s="185"/>
      <c r="AG44" s="185"/>
      <c r="AH44" s="186"/>
      <c r="AI44" s="181"/>
      <c r="AJ44" s="24"/>
      <c r="AK44" s="26"/>
      <c r="AL44" s="42" t="str">
        <f>IF(OR(Table13[[#This Row],[Annual Increase Option]]="No increase",Table13[[#This Row],[Annual Increase Option]]=""),"",_xlfn.XLOOKUP(MONTH(Table13[[#This Row],[Commencement Date]]),DropdownList!$A$19:$A$30,DropdownList!$B$19:$B$30,0))</f>
        <v/>
      </c>
      <c r="AM44" s="178"/>
      <c r="AN44" s="178"/>
      <c r="AO44" s="178"/>
      <c r="AP44" s="178"/>
      <c r="AQ44" s="26"/>
      <c r="AR44" s="178"/>
      <c r="AS44" s="178"/>
      <c r="AT44" s="185"/>
      <c r="AU44" s="178"/>
      <c r="AV44" s="181"/>
      <c r="AW44" s="187"/>
      <c r="AY44" s="188">
        <f>'Onboarding Calcs'!Q41</f>
        <v>0</v>
      </c>
    </row>
    <row r="45" spans="1:51" ht="15" customHeight="1" x14ac:dyDescent="0.3">
      <c r="A45" s="190"/>
      <c r="B45" s="178"/>
      <c r="C45" s="178"/>
      <c r="D45" s="178"/>
      <c r="E45" s="78"/>
      <c r="F45" s="78"/>
      <c r="G45" s="179"/>
      <c r="H45" s="180"/>
      <c r="I45" s="181"/>
      <c r="J45" s="175" t="str">
        <f>IF(_xlfn.XLOOKUP(B45,DropdownList!$C$2:$C$8,DropdownList!$B$2:$B$8,0)=0,"",_xlfn.XLOOKUP(B45,DropdownList!$C$2:$C$8,DropdownList!$B$2:$B$8,0))</f>
        <v/>
      </c>
      <c r="K45" s="182"/>
      <c r="L45" s="183"/>
      <c r="M45" s="44">
        <f>IF('Onboarding Calcs'!N42=0,0,'Onboarding Calcs'!N42)</f>
        <v>0</v>
      </c>
      <c r="N45" s="26"/>
      <c r="O45" s="178"/>
      <c r="P45" s="178"/>
      <c r="Q45" s="184"/>
      <c r="R45" s="184"/>
      <c r="S45" s="178"/>
      <c r="T45" s="178"/>
      <c r="U45" s="178"/>
      <c r="V45" s="178"/>
      <c r="W45" s="178"/>
      <c r="X45" s="178"/>
      <c r="Y45" s="185"/>
      <c r="Z45" s="178"/>
      <c r="AA45" s="178"/>
      <c r="AB45" s="178"/>
      <c r="AC45" s="178"/>
      <c r="AD45" s="178"/>
      <c r="AE45" s="185"/>
      <c r="AF45" s="185"/>
      <c r="AG45" s="185"/>
      <c r="AH45" s="186"/>
      <c r="AI45" s="181"/>
      <c r="AJ45" s="24"/>
      <c r="AK45" s="26"/>
      <c r="AL45" s="42" t="str">
        <f>IF(OR(Table13[[#This Row],[Annual Increase Option]]="No increase",Table13[[#This Row],[Annual Increase Option]]=""),"",_xlfn.XLOOKUP(MONTH(Table13[[#This Row],[Commencement Date]]),DropdownList!$A$19:$A$30,DropdownList!$B$19:$B$30,0))</f>
        <v/>
      </c>
      <c r="AM45" s="178"/>
      <c r="AN45" s="178"/>
      <c r="AO45" s="178"/>
      <c r="AP45" s="178"/>
      <c r="AQ45" s="26"/>
      <c r="AR45" s="178"/>
      <c r="AS45" s="178"/>
      <c r="AT45" s="185"/>
      <c r="AU45" s="178"/>
      <c r="AV45" s="181"/>
      <c r="AW45" s="187"/>
      <c r="AY45" s="188">
        <f>'Onboarding Calcs'!Q42</f>
        <v>0</v>
      </c>
    </row>
    <row r="46" spans="1:51" ht="15" customHeight="1" x14ac:dyDescent="0.3">
      <c r="A46" s="190"/>
      <c r="B46" s="178"/>
      <c r="C46" s="178"/>
      <c r="D46" s="178"/>
      <c r="E46" s="78"/>
      <c r="F46" s="78"/>
      <c r="G46" s="179"/>
      <c r="H46" s="180"/>
      <c r="I46" s="181"/>
      <c r="J46" s="175" t="str">
        <f>IF(_xlfn.XLOOKUP(B46,DropdownList!$C$2:$C$8,DropdownList!$B$2:$B$8,0)=0,"",_xlfn.XLOOKUP(B46,DropdownList!$C$2:$C$8,DropdownList!$B$2:$B$8,0))</f>
        <v/>
      </c>
      <c r="K46" s="182"/>
      <c r="L46" s="183"/>
      <c r="M46" s="44">
        <f>IF('Onboarding Calcs'!N43=0,0,'Onboarding Calcs'!N43)</f>
        <v>0</v>
      </c>
      <c r="N46" s="26"/>
      <c r="O46" s="178"/>
      <c r="P46" s="178"/>
      <c r="Q46" s="184"/>
      <c r="R46" s="184"/>
      <c r="S46" s="178"/>
      <c r="T46" s="178"/>
      <c r="U46" s="178"/>
      <c r="V46" s="178"/>
      <c r="W46" s="178"/>
      <c r="X46" s="178"/>
      <c r="Y46" s="185"/>
      <c r="Z46" s="178"/>
      <c r="AA46" s="178"/>
      <c r="AB46" s="178"/>
      <c r="AC46" s="178"/>
      <c r="AD46" s="178"/>
      <c r="AE46" s="185"/>
      <c r="AF46" s="185"/>
      <c r="AG46" s="185"/>
      <c r="AH46" s="186"/>
      <c r="AI46" s="181"/>
      <c r="AJ46" s="24"/>
      <c r="AK46" s="26"/>
      <c r="AL46" s="42" t="str">
        <f>IF(OR(Table13[[#This Row],[Annual Increase Option]]="No increase",Table13[[#This Row],[Annual Increase Option]]=""),"",_xlfn.XLOOKUP(MONTH(Table13[[#This Row],[Commencement Date]]),DropdownList!$A$19:$A$30,DropdownList!$B$19:$B$30,0))</f>
        <v/>
      </c>
      <c r="AM46" s="178"/>
      <c r="AN46" s="178"/>
      <c r="AO46" s="178"/>
      <c r="AP46" s="178"/>
      <c r="AQ46" s="26"/>
      <c r="AR46" s="178"/>
      <c r="AS46" s="178"/>
      <c r="AT46" s="185"/>
      <c r="AU46" s="178"/>
      <c r="AV46" s="181"/>
      <c r="AW46" s="187"/>
      <c r="AY46" s="188">
        <f>'Onboarding Calcs'!Q43</f>
        <v>0</v>
      </c>
    </row>
    <row r="47" spans="1:51" ht="15" customHeight="1" x14ac:dyDescent="0.3">
      <c r="A47" s="190"/>
      <c r="B47" s="178"/>
      <c r="C47" s="178"/>
      <c r="D47" s="178"/>
      <c r="E47" s="78"/>
      <c r="F47" s="78"/>
      <c r="G47" s="179"/>
      <c r="H47" s="180"/>
      <c r="I47" s="181"/>
      <c r="J47" s="175" t="str">
        <f>IF(_xlfn.XLOOKUP(B47,DropdownList!$C$2:$C$8,DropdownList!$B$2:$B$8,0)=0,"",_xlfn.XLOOKUP(B47,DropdownList!$C$2:$C$8,DropdownList!$B$2:$B$8,0))</f>
        <v/>
      </c>
      <c r="K47" s="182"/>
      <c r="L47" s="183"/>
      <c r="M47" s="44">
        <f>IF('Onboarding Calcs'!N44=0,0,'Onboarding Calcs'!N44)</f>
        <v>0</v>
      </c>
      <c r="N47" s="26"/>
      <c r="O47" s="178"/>
      <c r="P47" s="178"/>
      <c r="Q47" s="184"/>
      <c r="R47" s="184"/>
      <c r="S47" s="178"/>
      <c r="T47" s="178"/>
      <c r="U47" s="178"/>
      <c r="V47" s="178"/>
      <c r="W47" s="178"/>
      <c r="X47" s="178"/>
      <c r="Y47" s="185"/>
      <c r="Z47" s="178"/>
      <c r="AA47" s="178"/>
      <c r="AB47" s="178"/>
      <c r="AC47" s="178"/>
      <c r="AD47" s="178"/>
      <c r="AE47" s="185"/>
      <c r="AF47" s="185"/>
      <c r="AG47" s="185"/>
      <c r="AH47" s="186"/>
      <c r="AI47" s="181"/>
      <c r="AJ47" s="24"/>
      <c r="AK47" s="26"/>
      <c r="AL47" s="42" t="str">
        <f>IF(OR(Table13[[#This Row],[Annual Increase Option]]="No increase",Table13[[#This Row],[Annual Increase Option]]=""),"",_xlfn.XLOOKUP(MONTH(Table13[[#This Row],[Commencement Date]]),DropdownList!$A$19:$A$30,DropdownList!$B$19:$B$30,0))</f>
        <v/>
      </c>
      <c r="AM47" s="178"/>
      <c r="AN47" s="178"/>
      <c r="AO47" s="178"/>
      <c r="AP47" s="178"/>
      <c r="AQ47" s="26"/>
      <c r="AR47" s="178"/>
      <c r="AS47" s="178"/>
      <c r="AT47" s="185"/>
      <c r="AU47" s="178"/>
      <c r="AV47" s="181"/>
      <c r="AW47" s="187"/>
      <c r="AY47" s="188">
        <f>'Onboarding Calcs'!Q44</f>
        <v>0</v>
      </c>
    </row>
    <row r="48" spans="1:51" ht="15" customHeight="1" x14ac:dyDescent="0.3">
      <c r="A48" s="190"/>
      <c r="B48" s="178"/>
      <c r="C48" s="178"/>
      <c r="D48" s="178"/>
      <c r="E48" s="78"/>
      <c r="F48" s="78"/>
      <c r="G48" s="179"/>
      <c r="H48" s="180"/>
      <c r="I48" s="181"/>
      <c r="J48" s="175" t="str">
        <f>IF(_xlfn.XLOOKUP(B48,DropdownList!$C$2:$C$8,DropdownList!$B$2:$B$8,0)=0,"",_xlfn.XLOOKUP(B48,DropdownList!$C$2:$C$8,DropdownList!$B$2:$B$8,0))</f>
        <v/>
      </c>
      <c r="K48" s="182"/>
      <c r="L48" s="183"/>
      <c r="M48" s="44">
        <f>IF('Onboarding Calcs'!N45=0,0,'Onboarding Calcs'!N45)</f>
        <v>0</v>
      </c>
      <c r="N48" s="26"/>
      <c r="O48" s="178"/>
      <c r="P48" s="178"/>
      <c r="Q48" s="184"/>
      <c r="R48" s="184"/>
      <c r="S48" s="178"/>
      <c r="T48" s="178"/>
      <c r="U48" s="178"/>
      <c r="V48" s="178"/>
      <c r="W48" s="178"/>
      <c r="X48" s="178"/>
      <c r="Y48" s="185"/>
      <c r="Z48" s="178"/>
      <c r="AA48" s="178"/>
      <c r="AB48" s="178"/>
      <c r="AC48" s="178"/>
      <c r="AD48" s="178"/>
      <c r="AE48" s="185"/>
      <c r="AF48" s="185"/>
      <c r="AG48" s="185"/>
      <c r="AH48" s="186"/>
      <c r="AI48" s="181"/>
      <c r="AJ48" s="24"/>
      <c r="AK48" s="26"/>
      <c r="AL48" s="42" t="str">
        <f>IF(OR(Table13[[#This Row],[Annual Increase Option]]="No increase",Table13[[#This Row],[Annual Increase Option]]=""),"",_xlfn.XLOOKUP(MONTH(Table13[[#This Row],[Commencement Date]]),DropdownList!$A$19:$A$30,DropdownList!$B$19:$B$30,0))</f>
        <v/>
      </c>
      <c r="AM48" s="178"/>
      <c r="AN48" s="178"/>
      <c r="AO48" s="178"/>
      <c r="AP48" s="178"/>
      <c r="AQ48" s="26"/>
      <c r="AR48" s="178"/>
      <c r="AS48" s="178"/>
      <c r="AT48" s="185"/>
      <c r="AU48" s="178"/>
      <c r="AV48" s="181"/>
      <c r="AW48" s="187"/>
      <c r="AY48" s="188">
        <f>'Onboarding Calcs'!Q45</f>
        <v>0</v>
      </c>
    </row>
    <row r="49" spans="1:51" ht="15" customHeight="1" x14ac:dyDescent="0.3">
      <c r="A49" s="190"/>
      <c r="B49" s="178"/>
      <c r="C49" s="178"/>
      <c r="D49" s="178"/>
      <c r="E49" s="78"/>
      <c r="F49" s="78"/>
      <c r="G49" s="179"/>
      <c r="H49" s="180"/>
      <c r="I49" s="181"/>
      <c r="J49" s="175" t="str">
        <f>IF(_xlfn.XLOOKUP(B49,DropdownList!$C$2:$C$8,DropdownList!$B$2:$B$8,0)=0,"",_xlfn.XLOOKUP(B49,DropdownList!$C$2:$C$8,DropdownList!$B$2:$B$8,0))</f>
        <v/>
      </c>
      <c r="K49" s="182"/>
      <c r="L49" s="183"/>
      <c r="M49" s="44">
        <f>IF('Onboarding Calcs'!N46=0,0,'Onboarding Calcs'!N46)</f>
        <v>0</v>
      </c>
      <c r="N49" s="26"/>
      <c r="O49" s="178"/>
      <c r="P49" s="178"/>
      <c r="Q49" s="184"/>
      <c r="R49" s="184"/>
      <c r="S49" s="178"/>
      <c r="T49" s="178"/>
      <c r="U49" s="178"/>
      <c r="V49" s="178"/>
      <c r="W49" s="178"/>
      <c r="X49" s="178"/>
      <c r="Y49" s="185"/>
      <c r="Z49" s="178"/>
      <c r="AA49" s="178"/>
      <c r="AB49" s="178"/>
      <c r="AC49" s="178"/>
      <c r="AD49" s="178"/>
      <c r="AE49" s="185"/>
      <c r="AF49" s="185"/>
      <c r="AG49" s="185"/>
      <c r="AH49" s="186"/>
      <c r="AI49" s="181"/>
      <c r="AJ49" s="24"/>
      <c r="AK49" s="26"/>
      <c r="AL49" s="42" t="str">
        <f>IF(OR(Table13[[#This Row],[Annual Increase Option]]="No increase",Table13[[#This Row],[Annual Increase Option]]=""),"",_xlfn.XLOOKUP(MONTH(Table13[[#This Row],[Commencement Date]]),DropdownList!$A$19:$A$30,DropdownList!$B$19:$B$30,0))</f>
        <v/>
      </c>
      <c r="AM49" s="178"/>
      <c r="AN49" s="178"/>
      <c r="AO49" s="178"/>
      <c r="AP49" s="178"/>
      <c r="AQ49" s="26"/>
      <c r="AR49" s="178"/>
      <c r="AS49" s="178"/>
      <c r="AT49" s="185"/>
      <c r="AU49" s="178"/>
      <c r="AV49" s="181"/>
      <c r="AW49" s="187"/>
      <c r="AY49" s="188">
        <f>'Onboarding Calcs'!Q46</f>
        <v>0</v>
      </c>
    </row>
    <row r="50" spans="1:51" ht="15" customHeight="1" x14ac:dyDescent="0.3">
      <c r="A50" s="190"/>
      <c r="B50" s="178"/>
      <c r="C50" s="178"/>
      <c r="D50" s="178"/>
      <c r="E50" s="78"/>
      <c r="F50" s="78"/>
      <c r="G50" s="179"/>
      <c r="H50" s="180"/>
      <c r="I50" s="181"/>
      <c r="J50" s="175" t="str">
        <f>IF(_xlfn.XLOOKUP(B50,DropdownList!$C$2:$C$8,DropdownList!$B$2:$B$8,0)=0,"",_xlfn.XLOOKUP(B50,DropdownList!$C$2:$C$8,DropdownList!$B$2:$B$8,0))</f>
        <v/>
      </c>
      <c r="K50" s="182"/>
      <c r="L50" s="183"/>
      <c r="M50" s="44">
        <f>IF('Onboarding Calcs'!N47=0,0,'Onboarding Calcs'!N47)</f>
        <v>0</v>
      </c>
      <c r="N50" s="26"/>
      <c r="O50" s="178"/>
      <c r="P50" s="178"/>
      <c r="Q50" s="184"/>
      <c r="R50" s="184"/>
      <c r="S50" s="178"/>
      <c r="T50" s="178"/>
      <c r="U50" s="178"/>
      <c r="V50" s="178"/>
      <c r="W50" s="178"/>
      <c r="X50" s="178"/>
      <c r="Y50" s="185"/>
      <c r="Z50" s="178"/>
      <c r="AA50" s="178"/>
      <c r="AB50" s="178"/>
      <c r="AC50" s="178"/>
      <c r="AD50" s="178"/>
      <c r="AE50" s="185"/>
      <c r="AF50" s="185"/>
      <c r="AG50" s="185"/>
      <c r="AH50" s="186"/>
      <c r="AI50" s="181"/>
      <c r="AJ50" s="24"/>
      <c r="AK50" s="26"/>
      <c r="AL50" s="42" t="str">
        <f>IF(OR(Table13[[#This Row],[Annual Increase Option]]="No increase",Table13[[#This Row],[Annual Increase Option]]=""),"",_xlfn.XLOOKUP(MONTH(Table13[[#This Row],[Commencement Date]]),DropdownList!$A$19:$A$30,DropdownList!$B$19:$B$30,0))</f>
        <v/>
      </c>
      <c r="AM50" s="178"/>
      <c r="AN50" s="178"/>
      <c r="AO50" s="178"/>
      <c r="AP50" s="178"/>
      <c r="AQ50" s="26"/>
      <c r="AR50" s="178"/>
      <c r="AS50" s="178"/>
      <c r="AT50" s="185"/>
      <c r="AU50" s="178"/>
      <c r="AV50" s="181"/>
      <c r="AW50" s="187"/>
      <c r="AY50" s="188">
        <f>'Onboarding Calcs'!Q47</f>
        <v>0</v>
      </c>
    </row>
    <row r="51" spans="1:51" ht="15" customHeight="1" x14ac:dyDescent="0.3">
      <c r="A51" s="190"/>
      <c r="B51" s="178"/>
      <c r="C51" s="178"/>
      <c r="D51" s="178"/>
      <c r="E51" s="78"/>
      <c r="F51" s="78"/>
      <c r="G51" s="179"/>
      <c r="H51" s="180"/>
      <c r="I51" s="181"/>
      <c r="J51" s="175" t="str">
        <f>IF(_xlfn.XLOOKUP(B51,DropdownList!$C$2:$C$8,DropdownList!$B$2:$B$8,0)=0,"",_xlfn.XLOOKUP(B51,DropdownList!$C$2:$C$8,DropdownList!$B$2:$B$8,0))</f>
        <v/>
      </c>
      <c r="K51" s="182"/>
      <c r="L51" s="183"/>
      <c r="M51" s="44">
        <f>IF('Onboarding Calcs'!N48=0,0,'Onboarding Calcs'!N48)</f>
        <v>0</v>
      </c>
      <c r="N51" s="26"/>
      <c r="O51" s="178"/>
      <c r="P51" s="178"/>
      <c r="Q51" s="184"/>
      <c r="R51" s="184"/>
      <c r="S51" s="178"/>
      <c r="T51" s="178"/>
      <c r="U51" s="178"/>
      <c r="V51" s="178"/>
      <c r="W51" s="178"/>
      <c r="X51" s="178"/>
      <c r="Y51" s="185"/>
      <c r="Z51" s="178"/>
      <c r="AA51" s="178"/>
      <c r="AB51" s="178"/>
      <c r="AC51" s="178"/>
      <c r="AD51" s="178"/>
      <c r="AE51" s="185"/>
      <c r="AF51" s="185"/>
      <c r="AG51" s="185"/>
      <c r="AH51" s="186"/>
      <c r="AI51" s="181"/>
      <c r="AJ51" s="24"/>
      <c r="AK51" s="26"/>
      <c r="AL51" s="42" t="str">
        <f>IF(OR(Table13[[#This Row],[Annual Increase Option]]="No increase",Table13[[#This Row],[Annual Increase Option]]=""),"",_xlfn.XLOOKUP(MONTH(Table13[[#This Row],[Commencement Date]]),DropdownList!$A$19:$A$30,DropdownList!$B$19:$B$30,0))</f>
        <v/>
      </c>
      <c r="AM51" s="178"/>
      <c r="AN51" s="178"/>
      <c r="AO51" s="178"/>
      <c r="AP51" s="178"/>
      <c r="AQ51" s="26"/>
      <c r="AR51" s="178"/>
      <c r="AS51" s="178"/>
      <c r="AT51" s="185"/>
      <c r="AU51" s="178"/>
      <c r="AV51" s="181"/>
      <c r="AW51" s="187"/>
      <c r="AY51" s="188">
        <f>'Onboarding Calcs'!Q48</f>
        <v>0</v>
      </c>
    </row>
    <row r="52" spans="1:51" ht="15" customHeight="1" x14ac:dyDescent="0.3">
      <c r="A52" s="190"/>
      <c r="B52" s="178"/>
      <c r="C52" s="178"/>
      <c r="D52" s="178"/>
      <c r="E52" s="78"/>
      <c r="F52" s="78"/>
      <c r="G52" s="179"/>
      <c r="H52" s="180"/>
      <c r="I52" s="181"/>
      <c r="J52" s="175" t="str">
        <f>IF(_xlfn.XLOOKUP(B52,DropdownList!$C$2:$C$8,DropdownList!$B$2:$B$8,0)=0,"",_xlfn.XLOOKUP(B52,DropdownList!$C$2:$C$8,DropdownList!$B$2:$B$8,0))</f>
        <v/>
      </c>
      <c r="K52" s="182"/>
      <c r="L52" s="183"/>
      <c r="M52" s="44">
        <f>IF('Onboarding Calcs'!N49=0,0,'Onboarding Calcs'!N49)</f>
        <v>0</v>
      </c>
      <c r="N52" s="26"/>
      <c r="O52" s="178"/>
      <c r="P52" s="178"/>
      <c r="Q52" s="184"/>
      <c r="R52" s="184"/>
      <c r="S52" s="178"/>
      <c r="T52" s="178"/>
      <c r="U52" s="178"/>
      <c r="V52" s="178"/>
      <c r="W52" s="178"/>
      <c r="X52" s="178"/>
      <c r="Y52" s="185"/>
      <c r="Z52" s="178"/>
      <c r="AA52" s="178"/>
      <c r="AB52" s="178"/>
      <c r="AC52" s="178"/>
      <c r="AD52" s="178"/>
      <c r="AE52" s="185"/>
      <c r="AF52" s="185"/>
      <c r="AG52" s="185"/>
      <c r="AH52" s="186"/>
      <c r="AI52" s="181"/>
      <c r="AJ52" s="24"/>
      <c r="AK52" s="26"/>
      <c r="AL52" s="42" t="str">
        <f>IF(OR(Table13[[#This Row],[Annual Increase Option]]="No increase",Table13[[#This Row],[Annual Increase Option]]=""),"",_xlfn.XLOOKUP(MONTH(Table13[[#This Row],[Commencement Date]]),DropdownList!$A$19:$A$30,DropdownList!$B$19:$B$30,0))</f>
        <v/>
      </c>
      <c r="AM52" s="178"/>
      <c r="AN52" s="178"/>
      <c r="AO52" s="178"/>
      <c r="AP52" s="178"/>
      <c r="AQ52" s="26"/>
      <c r="AR52" s="178"/>
      <c r="AS52" s="178"/>
      <c r="AT52" s="185"/>
      <c r="AU52" s="178"/>
      <c r="AV52" s="181"/>
      <c r="AW52" s="187"/>
      <c r="AY52" s="188">
        <f>'Onboarding Calcs'!Q49</f>
        <v>0</v>
      </c>
    </row>
    <row r="53" spans="1:51" ht="15" customHeight="1" x14ac:dyDescent="0.3">
      <c r="A53" s="190"/>
      <c r="B53" s="178"/>
      <c r="C53" s="178"/>
      <c r="D53" s="178"/>
      <c r="E53" s="78"/>
      <c r="F53" s="78"/>
      <c r="G53" s="179"/>
      <c r="H53" s="180"/>
      <c r="I53" s="181"/>
      <c r="J53" s="175" t="str">
        <f>IF(_xlfn.XLOOKUP(B53,DropdownList!$C$2:$C$8,DropdownList!$B$2:$B$8,0)=0,"",_xlfn.XLOOKUP(B53,DropdownList!$C$2:$C$8,DropdownList!$B$2:$B$8,0))</f>
        <v/>
      </c>
      <c r="K53" s="182"/>
      <c r="L53" s="183"/>
      <c r="M53" s="44">
        <f>IF('Onboarding Calcs'!N50=0,0,'Onboarding Calcs'!N50)</f>
        <v>0</v>
      </c>
      <c r="N53" s="26"/>
      <c r="O53" s="178"/>
      <c r="P53" s="178"/>
      <c r="Q53" s="184"/>
      <c r="R53" s="184"/>
      <c r="S53" s="178"/>
      <c r="T53" s="178"/>
      <c r="U53" s="178"/>
      <c r="V53" s="178"/>
      <c r="W53" s="178"/>
      <c r="X53" s="178"/>
      <c r="Y53" s="185"/>
      <c r="Z53" s="178"/>
      <c r="AA53" s="178"/>
      <c r="AB53" s="178"/>
      <c r="AC53" s="178"/>
      <c r="AD53" s="178"/>
      <c r="AE53" s="185"/>
      <c r="AF53" s="185"/>
      <c r="AG53" s="185"/>
      <c r="AH53" s="186"/>
      <c r="AI53" s="181"/>
      <c r="AJ53" s="24"/>
      <c r="AK53" s="26"/>
      <c r="AL53" s="42" t="str">
        <f>IF(OR(Table13[[#This Row],[Annual Increase Option]]="No increase",Table13[[#This Row],[Annual Increase Option]]=""),"",_xlfn.XLOOKUP(MONTH(Table13[[#This Row],[Commencement Date]]),DropdownList!$A$19:$A$30,DropdownList!$B$19:$B$30,0))</f>
        <v/>
      </c>
      <c r="AM53" s="178"/>
      <c r="AN53" s="178"/>
      <c r="AO53" s="178"/>
      <c r="AP53" s="178"/>
      <c r="AQ53" s="26"/>
      <c r="AR53" s="178"/>
      <c r="AS53" s="178"/>
      <c r="AT53" s="185"/>
      <c r="AU53" s="178"/>
      <c r="AV53" s="181"/>
      <c r="AW53" s="187"/>
      <c r="AY53" s="188">
        <f>'Onboarding Calcs'!Q50</f>
        <v>0</v>
      </c>
    </row>
    <row r="54" spans="1:51" ht="15" customHeight="1" x14ac:dyDescent="0.3">
      <c r="A54" s="190"/>
      <c r="B54" s="178"/>
      <c r="C54" s="178"/>
      <c r="D54" s="178"/>
      <c r="E54" s="78"/>
      <c r="F54" s="78"/>
      <c r="G54" s="179"/>
      <c r="H54" s="180"/>
      <c r="I54" s="181"/>
      <c r="J54" s="175" t="str">
        <f>IF(_xlfn.XLOOKUP(B54,DropdownList!$C$2:$C$8,DropdownList!$B$2:$B$8,0)=0,"",_xlfn.XLOOKUP(B54,DropdownList!$C$2:$C$8,DropdownList!$B$2:$B$8,0))</f>
        <v/>
      </c>
      <c r="K54" s="182"/>
      <c r="L54" s="183"/>
      <c r="M54" s="44">
        <f>IF('Onboarding Calcs'!N51=0,0,'Onboarding Calcs'!N51)</f>
        <v>0</v>
      </c>
      <c r="N54" s="26"/>
      <c r="O54" s="178"/>
      <c r="P54" s="178"/>
      <c r="Q54" s="184"/>
      <c r="R54" s="184"/>
      <c r="S54" s="178"/>
      <c r="T54" s="178"/>
      <c r="U54" s="178"/>
      <c r="V54" s="178"/>
      <c r="W54" s="178"/>
      <c r="X54" s="178"/>
      <c r="Y54" s="185"/>
      <c r="Z54" s="178"/>
      <c r="AA54" s="178"/>
      <c r="AB54" s="178"/>
      <c r="AC54" s="178"/>
      <c r="AD54" s="178"/>
      <c r="AE54" s="185"/>
      <c r="AF54" s="185"/>
      <c r="AG54" s="185"/>
      <c r="AH54" s="186"/>
      <c r="AI54" s="181"/>
      <c r="AJ54" s="24"/>
      <c r="AK54" s="26"/>
      <c r="AL54" s="42" t="str">
        <f>IF(OR(Table13[[#This Row],[Annual Increase Option]]="No increase",Table13[[#This Row],[Annual Increase Option]]=""),"",_xlfn.XLOOKUP(MONTH(Table13[[#This Row],[Commencement Date]]),DropdownList!$A$19:$A$30,DropdownList!$B$19:$B$30,0))</f>
        <v/>
      </c>
      <c r="AM54" s="178"/>
      <c r="AN54" s="178"/>
      <c r="AO54" s="178"/>
      <c r="AP54" s="178"/>
      <c r="AQ54" s="26"/>
      <c r="AR54" s="178"/>
      <c r="AS54" s="178"/>
      <c r="AT54" s="185"/>
      <c r="AU54" s="178"/>
      <c r="AV54" s="181"/>
      <c r="AW54" s="187"/>
      <c r="AY54" s="188">
        <f>'Onboarding Calcs'!Q51</f>
        <v>0</v>
      </c>
    </row>
    <row r="55" spans="1:51" ht="15" customHeight="1" x14ac:dyDescent="0.3">
      <c r="A55" s="190"/>
      <c r="B55" s="178"/>
      <c r="C55" s="178"/>
      <c r="D55" s="178"/>
      <c r="E55" s="78"/>
      <c r="F55" s="78"/>
      <c r="G55" s="179"/>
      <c r="H55" s="180"/>
      <c r="I55" s="181"/>
      <c r="J55" s="175" t="str">
        <f>IF(_xlfn.XLOOKUP(B55,DropdownList!$C$2:$C$8,DropdownList!$B$2:$B$8,0)=0,"",_xlfn.XLOOKUP(B55,DropdownList!$C$2:$C$8,DropdownList!$B$2:$B$8,0))</f>
        <v/>
      </c>
      <c r="K55" s="182"/>
      <c r="L55" s="183"/>
      <c r="M55" s="44">
        <f>IF('Onboarding Calcs'!N52=0,0,'Onboarding Calcs'!N52)</f>
        <v>0</v>
      </c>
      <c r="N55" s="26"/>
      <c r="O55" s="178"/>
      <c r="P55" s="178"/>
      <c r="Q55" s="184"/>
      <c r="R55" s="184"/>
      <c r="S55" s="178"/>
      <c r="T55" s="178"/>
      <c r="U55" s="178"/>
      <c r="V55" s="178"/>
      <c r="W55" s="178"/>
      <c r="X55" s="178"/>
      <c r="Y55" s="185"/>
      <c r="Z55" s="178"/>
      <c r="AA55" s="178"/>
      <c r="AB55" s="178"/>
      <c r="AC55" s="178"/>
      <c r="AD55" s="178"/>
      <c r="AE55" s="185"/>
      <c r="AF55" s="185"/>
      <c r="AG55" s="185"/>
      <c r="AH55" s="186"/>
      <c r="AI55" s="181"/>
      <c r="AJ55" s="24"/>
      <c r="AK55" s="26"/>
      <c r="AL55" s="42" t="str">
        <f>IF(OR(Table13[[#This Row],[Annual Increase Option]]="No increase",Table13[[#This Row],[Annual Increase Option]]=""),"",_xlfn.XLOOKUP(MONTH(Table13[[#This Row],[Commencement Date]]),DropdownList!$A$19:$A$30,DropdownList!$B$19:$B$30,0))</f>
        <v/>
      </c>
      <c r="AM55" s="178"/>
      <c r="AN55" s="178"/>
      <c r="AO55" s="178"/>
      <c r="AP55" s="178"/>
      <c r="AQ55" s="26"/>
      <c r="AR55" s="178"/>
      <c r="AS55" s="178"/>
      <c r="AT55" s="185"/>
      <c r="AU55" s="178"/>
      <c r="AV55" s="181"/>
      <c r="AW55" s="187"/>
      <c r="AY55" s="188">
        <f>'Onboarding Calcs'!Q52</f>
        <v>0</v>
      </c>
    </row>
    <row r="56" spans="1:51" ht="15" customHeight="1" x14ac:dyDescent="0.3">
      <c r="A56" s="190"/>
      <c r="B56" s="178"/>
      <c r="C56" s="178"/>
      <c r="D56" s="178"/>
      <c r="E56" s="78"/>
      <c r="F56" s="78"/>
      <c r="G56" s="179"/>
      <c r="H56" s="180"/>
      <c r="I56" s="181"/>
      <c r="J56" s="175" t="str">
        <f>IF(_xlfn.XLOOKUP(B56,DropdownList!$C$2:$C$8,DropdownList!$B$2:$B$8,0)=0,"",_xlfn.XLOOKUP(B56,DropdownList!$C$2:$C$8,DropdownList!$B$2:$B$8,0))</f>
        <v/>
      </c>
      <c r="K56" s="182"/>
      <c r="L56" s="183"/>
      <c r="M56" s="44">
        <f>IF('Onboarding Calcs'!N53=0,0,'Onboarding Calcs'!N53)</f>
        <v>0</v>
      </c>
      <c r="N56" s="26"/>
      <c r="O56" s="178"/>
      <c r="P56" s="178"/>
      <c r="Q56" s="184"/>
      <c r="R56" s="184"/>
      <c r="S56" s="178"/>
      <c r="T56" s="178"/>
      <c r="U56" s="178"/>
      <c r="V56" s="178"/>
      <c r="W56" s="178"/>
      <c r="X56" s="178"/>
      <c r="Y56" s="185"/>
      <c r="Z56" s="178"/>
      <c r="AA56" s="178"/>
      <c r="AB56" s="178"/>
      <c r="AC56" s="178"/>
      <c r="AD56" s="178"/>
      <c r="AE56" s="185"/>
      <c r="AF56" s="185"/>
      <c r="AG56" s="185"/>
      <c r="AH56" s="186"/>
      <c r="AI56" s="181"/>
      <c r="AJ56" s="24"/>
      <c r="AK56" s="26"/>
      <c r="AL56" s="42" t="str">
        <f>IF(OR(Table13[[#This Row],[Annual Increase Option]]="No increase",Table13[[#This Row],[Annual Increase Option]]=""),"",_xlfn.XLOOKUP(MONTH(Table13[[#This Row],[Commencement Date]]),DropdownList!$A$19:$A$30,DropdownList!$B$19:$B$30,0))</f>
        <v/>
      </c>
      <c r="AM56" s="178"/>
      <c r="AN56" s="178"/>
      <c r="AO56" s="178"/>
      <c r="AP56" s="178"/>
      <c r="AQ56" s="26"/>
      <c r="AR56" s="178"/>
      <c r="AS56" s="178"/>
      <c r="AT56" s="185"/>
      <c r="AU56" s="178"/>
      <c r="AV56" s="181"/>
      <c r="AW56" s="187"/>
      <c r="AY56" s="188">
        <f>'Onboarding Calcs'!Q53</f>
        <v>0</v>
      </c>
    </row>
    <row r="57" spans="1:51" ht="15" customHeight="1" x14ac:dyDescent="0.3">
      <c r="A57" s="190"/>
      <c r="B57" s="178"/>
      <c r="C57" s="178"/>
      <c r="D57" s="178"/>
      <c r="E57" s="78"/>
      <c r="F57" s="78"/>
      <c r="G57" s="179"/>
      <c r="H57" s="180"/>
      <c r="I57" s="181"/>
      <c r="J57" s="175" t="str">
        <f>IF(_xlfn.XLOOKUP(B57,DropdownList!$C$2:$C$8,DropdownList!$B$2:$B$8,0)=0,"",_xlfn.XLOOKUP(B57,DropdownList!$C$2:$C$8,DropdownList!$B$2:$B$8,0))</f>
        <v/>
      </c>
      <c r="K57" s="182"/>
      <c r="L57" s="183"/>
      <c r="M57" s="44">
        <f>IF('Onboarding Calcs'!N54=0,0,'Onboarding Calcs'!N54)</f>
        <v>0</v>
      </c>
      <c r="N57" s="26"/>
      <c r="O57" s="178"/>
      <c r="P57" s="178"/>
      <c r="Q57" s="184"/>
      <c r="R57" s="184"/>
      <c r="S57" s="178"/>
      <c r="T57" s="178"/>
      <c r="U57" s="178"/>
      <c r="V57" s="178"/>
      <c r="W57" s="178"/>
      <c r="X57" s="178"/>
      <c r="Y57" s="185"/>
      <c r="Z57" s="178"/>
      <c r="AA57" s="178"/>
      <c r="AB57" s="178"/>
      <c r="AC57" s="178"/>
      <c r="AD57" s="178"/>
      <c r="AE57" s="185"/>
      <c r="AF57" s="185"/>
      <c r="AG57" s="185"/>
      <c r="AH57" s="186"/>
      <c r="AI57" s="181"/>
      <c r="AJ57" s="24"/>
      <c r="AK57" s="26"/>
      <c r="AL57" s="42" t="str">
        <f>IF(OR(Table13[[#This Row],[Annual Increase Option]]="No increase",Table13[[#This Row],[Annual Increase Option]]=""),"",_xlfn.XLOOKUP(MONTH(Table13[[#This Row],[Commencement Date]]),DropdownList!$A$19:$A$30,DropdownList!$B$19:$B$30,0))</f>
        <v/>
      </c>
      <c r="AM57" s="178"/>
      <c r="AN57" s="178"/>
      <c r="AO57" s="178"/>
      <c r="AP57" s="178"/>
      <c r="AQ57" s="26"/>
      <c r="AR57" s="178"/>
      <c r="AS57" s="178"/>
      <c r="AT57" s="185"/>
      <c r="AU57" s="178"/>
      <c r="AV57" s="181"/>
      <c r="AW57" s="187"/>
      <c r="AY57" s="188">
        <f>'Onboarding Calcs'!Q54</f>
        <v>0</v>
      </c>
    </row>
    <row r="58" spans="1:51" ht="15" customHeight="1" x14ac:dyDescent="0.3">
      <c r="A58" s="190"/>
      <c r="B58" s="178"/>
      <c r="C58" s="178"/>
      <c r="D58" s="178"/>
      <c r="E58" s="78"/>
      <c r="F58" s="78"/>
      <c r="G58" s="179"/>
      <c r="H58" s="180"/>
      <c r="I58" s="181"/>
      <c r="J58" s="175" t="str">
        <f>IF(_xlfn.XLOOKUP(B58,DropdownList!$C$2:$C$8,DropdownList!$B$2:$B$8,0)=0,"",_xlfn.XLOOKUP(B58,DropdownList!$C$2:$C$8,DropdownList!$B$2:$B$8,0))</f>
        <v/>
      </c>
      <c r="K58" s="182"/>
      <c r="L58" s="183"/>
      <c r="M58" s="44">
        <f>IF('Onboarding Calcs'!N55=0,0,'Onboarding Calcs'!N55)</f>
        <v>0</v>
      </c>
      <c r="N58" s="26"/>
      <c r="O58" s="178"/>
      <c r="P58" s="178"/>
      <c r="Q58" s="184"/>
      <c r="R58" s="184"/>
      <c r="S58" s="178"/>
      <c r="T58" s="178"/>
      <c r="U58" s="178"/>
      <c r="V58" s="178"/>
      <c r="W58" s="178"/>
      <c r="X58" s="178"/>
      <c r="Y58" s="185"/>
      <c r="Z58" s="178"/>
      <c r="AA58" s="178"/>
      <c r="AB58" s="178"/>
      <c r="AC58" s="178"/>
      <c r="AD58" s="178"/>
      <c r="AE58" s="185"/>
      <c r="AF58" s="185"/>
      <c r="AG58" s="185"/>
      <c r="AH58" s="186"/>
      <c r="AI58" s="181"/>
      <c r="AJ58" s="24"/>
      <c r="AK58" s="26"/>
      <c r="AL58" s="42" t="str">
        <f>IF(OR(Table13[[#This Row],[Annual Increase Option]]="No increase",Table13[[#This Row],[Annual Increase Option]]=""),"",_xlfn.XLOOKUP(MONTH(Table13[[#This Row],[Commencement Date]]),DropdownList!$A$19:$A$30,DropdownList!$B$19:$B$30,0))</f>
        <v/>
      </c>
      <c r="AM58" s="178"/>
      <c r="AN58" s="178"/>
      <c r="AO58" s="178"/>
      <c r="AP58" s="178"/>
      <c r="AQ58" s="26"/>
      <c r="AR58" s="178"/>
      <c r="AS58" s="178"/>
      <c r="AT58" s="185"/>
      <c r="AU58" s="178"/>
      <c r="AV58" s="181"/>
      <c r="AW58" s="187"/>
      <c r="AY58" s="188">
        <f>'Onboarding Calcs'!Q55</f>
        <v>0</v>
      </c>
    </row>
    <row r="59" spans="1:51" ht="15" customHeight="1" x14ac:dyDescent="0.3">
      <c r="A59" s="190"/>
      <c r="B59" s="178"/>
      <c r="C59" s="178"/>
      <c r="D59" s="178"/>
      <c r="E59" s="78"/>
      <c r="F59" s="78"/>
      <c r="G59" s="179"/>
      <c r="H59" s="180"/>
      <c r="I59" s="181"/>
      <c r="J59" s="175" t="str">
        <f>IF(_xlfn.XLOOKUP(B59,DropdownList!$C$2:$C$8,DropdownList!$B$2:$B$8,0)=0,"",_xlfn.XLOOKUP(B59,DropdownList!$C$2:$C$8,DropdownList!$B$2:$B$8,0))</f>
        <v/>
      </c>
      <c r="K59" s="182"/>
      <c r="L59" s="183"/>
      <c r="M59" s="44">
        <f>IF('Onboarding Calcs'!N56=0,0,'Onboarding Calcs'!N56)</f>
        <v>0</v>
      </c>
      <c r="N59" s="26"/>
      <c r="O59" s="178"/>
      <c r="P59" s="178"/>
      <c r="Q59" s="184"/>
      <c r="R59" s="184"/>
      <c r="S59" s="178"/>
      <c r="T59" s="178"/>
      <c r="U59" s="178"/>
      <c r="V59" s="178"/>
      <c r="W59" s="178"/>
      <c r="X59" s="178"/>
      <c r="Y59" s="185"/>
      <c r="Z59" s="178"/>
      <c r="AA59" s="178"/>
      <c r="AB59" s="178"/>
      <c r="AC59" s="178"/>
      <c r="AD59" s="178"/>
      <c r="AE59" s="185"/>
      <c r="AF59" s="185"/>
      <c r="AG59" s="185"/>
      <c r="AH59" s="186"/>
      <c r="AI59" s="181"/>
      <c r="AJ59" s="24"/>
      <c r="AK59" s="26"/>
      <c r="AL59" s="42" t="str">
        <f>IF(OR(Table13[[#This Row],[Annual Increase Option]]="No increase",Table13[[#This Row],[Annual Increase Option]]=""),"",_xlfn.XLOOKUP(MONTH(Table13[[#This Row],[Commencement Date]]),DropdownList!$A$19:$A$30,DropdownList!$B$19:$B$30,0))</f>
        <v/>
      </c>
      <c r="AM59" s="178"/>
      <c r="AN59" s="178"/>
      <c r="AO59" s="178"/>
      <c r="AP59" s="178"/>
      <c r="AQ59" s="26"/>
      <c r="AR59" s="178"/>
      <c r="AS59" s="178"/>
      <c r="AT59" s="185"/>
      <c r="AU59" s="178"/>
      <c r="AV59" s="181"/>
      <c r="AW59" s="187"/>
      <c r="AY59" s="188">
        <f>'Onboarding Calcs'!Q56</f>
        <v>0</v>
      </c>
    </row>
    <row r="60" spans="1:51" ht="15" customHeight="1" x14ac:dyDescent="0.3">
      <c r="A60" s="190"/>
      <c r="B60" s="178"/>
      <c r="C60" s="178"/>
      <c r="D60" s="178"/>
      <c r="E60" s="78"/>
      <c r="F60" s="78"/>
      <c r="G60" s="179"/>
      <c r="H60" s="180"/>
      <c r="I60" s="181"/>
      <c r="J60" s="175" t="str">
        <f>IF(_xlfn.XLOOKUP(B60,DropdownList!$C$2:$C$8,DropdownList!$B$2:$B$8,0)=0,"",_xlfn.XLOOKUP(B60,DropdownList!$C$2:$C$8,DropdownList!$B$2:$B$8,0))</f>
        <v/>
      </c>
      <c r="K60" s="182"/>
      <c r="L60" s="183"/>
      <c r="M60" s="44">
        <f>IF('Onboarding Calcs'!N57=0,0,'Onboarding Calcs'!N57)</f>
        <v>0</v>
      </c>
      <c r="N60" s="26"/>
      <c r="O60" s="178"/>
      <c r="P60" s="178"/>
      <c r="Q60" s="184"/>
      <c r="R60" s="184"/>
      <c r="S60" s="178"/>
      <c r="T60" s="178"/>
      <c r="U60" s="178"/>
      <c r="V60" s="178"/>
      <c r="W60" s="178"/>
      <c r="X60" s="178"/>
      <c r="Y60" s="185"/>
      <c r="Z60" s="178"/>
      <c r="AA60" s="178"/>
      <c r="AB60" s="178"/>
      <c r="AC60" s="178"/>
      <c r="AD60" s="178"/>
      <c r="AE60" s="185"/>
      <c r="AF60" s="185"/>
      <c r="AG60" s="185"/>
      <c r="AH60" s="186"/>
      <c r="AI60" s="181"/>
      <c r="AJ60" s="24"/>
      <c r="AK60" s="26"/>
      <c r="AL60" s="42" t="str">
        <f>IF(OR(Table13[[#This Row],[Annual Increase Option]]="No increase",Table13[[#This Row],[Annual Increase Option]]=""),"",_xlfn.XLOOKUP(MONTH(Table13[[#This Row],[Commencement Date]]),DropdownList!$A$19:$A$30,DropdownList!$B$19:$B$30,0))</f>
        <v/>
      </c>
      <c r="AM60" s="178"/>
      <c r="AN60" s="178"/>
      <c r="AO60" s="178"/>
      <c r="AP60" s="178"/>
      <c r="AQ60" s="26"/>
      <c r="AR60" s="178"/>
      <c r="AS60" s="178"/>
      <c r="AT60" s="185"/>
      <c r="AU60" s="178"/>
      <c r="AV60" s="181"/>
      <c r="AW60" s="187"/>
      <c r="AY60" s="188">
        <f>'Onboarding Calcs'!Q57</f>
        <v>0</v>
      </c>
    </row>
    <row r="61" spans="1:51" ht="15" customHeight="1" x14ac:dyDescent="0.3">
      <c r="A61" s="190"/>
      <c r="B61" s="178"/>
      <c r="C61" s="178"/>
      <c r="D61" s="178"/>
      <c r="E61" s="78"/>
      <c r="F61" s="78"/>
      <c r="G61" s="179"/>
      <c r="H61" s="180"/>
      <c r="I61" s="181"/>
      <c r="J61" s="175" t="str">
        <f>IF(_xlfn.XLOOKUP(B61,DropdownList!$C$2:$C$8,DropdownList!$B$2:$B$8,0)=0,"",_xlfn.XLOOKUP(B61,DropdownList!$C$2:$C$8,DropdownList!$B$2:$B$8,0))</f>
        <v/>
      </c>
      <c r="K61" s="182"/>
      <c r="L61" s="183"/>
      <c r="M61" s="44">
        <f>IF('Onboarding Calcs'!N58=0,0,'Onboarding Calcs'!N58)</f>
        <v>0</v>
      </c>
      <c r="N61" s="26"/>
      <c r="O61" s="178"/>
      <c r="P61" s="178"/>
      <c r="Q61" s="184"/>
      <c r="R61" s="184"/>
      <c r="S61" s="178"/>
      <c r="T61" s="178"/>
      <c r="U61" s="178"/>
      <c r="V61" s="178"/>
      <c r="W61" s="178"/>
      <c r="X61" s="178"/>
      <c r="Y61" s="185"/>
      <c r="Z61" s="178"/>
      <c r="AA61" s="178"/>
      <c r="AB61" s="178"/>
      <c r="AC61" s="178"/>
      <c r="AD61" s="178"/>
      <c r="AE61" s="185"/>
      <c r="AF61" s="185"/>
      <c r="AG61" s="185"/>
      <c r="AH61" s="186"/>
      <c r="AI61" s="181"/>
      <c r="AJ61" s="24"/>
      <c r="AK61" s="26"/>
      <c r="AL61" s="42" t="str">
        <f>IF(OR(Table13[[#This Row],[Annual Increase Option]]="No increase",Table13[[#This Row],[Annual Increase Option]]=""),"",_xlfn.XLOOKUP(MONTH(Table13[[#This Row],[Commencement Date]]),DropdownList!$A$19:$A$30,DropdownList!$B$19:$B$30,0))</f>
        <v/>
      </c>
      <c r="AM61" s="178"/>
      <c r="AN61" s="178"/>
      <c r="AO61" s="178"/>
      <c r="AP61" s="178"/>
      <c r="AQ61" s="26"/>
      <c r="AR61" s="178"/>
      <c r="AS61" s="178"/>
      <c r="AT61" s="185"/>
      <c r="AU61" s="178"/>
      <c r="AV61" s="181"/>
      <c r="AW61" s="187"/>
      <c r="AY61" s="188">
        <f>'Onboarding Calcs'!Q58</f>
        <v>0</v>
      </c>
    </row>
    <row r="62" spans="1:51" ht="15" customHeight="1" x14ac:dyDescent="0.3">
      <c r="A62" s="190"/>
      <c r="B62" s="178"/>
      <c r="C62" s="178"/>
      <c r="D62" s="178"/>
      <c r="E62" s="78"/>
      <c r="F62" s="78"/>
      <c r="G62" s="179"/>
      <c r="H62" s="180"/>
      <c r="I62" s="181"/>
      <c r="J62" s="175" t="str">
        <f>IF(_xlfn.XLOOKUP(B62,DropdownList!$C$2:$C$8,DropdownList!$B$2:$B$8,0)=0,"",_xlfn.XLOOKUP(B62,DropdownList!$C$2:$C$8,DropdownList!$B$2:$B$8,0))</f>
        <v/>
      </c>
      <c r="K62" s="182"/>
      <c r="L62" s="183"/>
      <c r="M62" s="44">
        <f>IF('Onboarding Calcs'!N59=0,0,'Onboarding Calcs'!N59)</f>
        <v>0</v>
      </c>
      <c r="N62" s="26"/>
      <c r="O62" s="178"/>
      <c r="P62" s="178"/>
      <c r="Q62" s="184"/>
      <c r="R62" s="184"/>
      <c r="S62" s="178"/>
      <c r="T62" s="178"/>
      <c r="U62" s="178"/>
      <c r="V62" s="178"/>
      <c r="W62" s="178"/>
      <c r="X62" s="178"/>
      <c r="Y62" s="185"/>
      <c r="Z62" s="178"/>
      <c r="AA62" s="178"/>
      <c r="AB62" s="178"/>
      <c r="AC62" s="178"/>
      <c r="AD62" s="178"/>
      <c r="AE62" s="185"/>
      <c r="AF62" s="185"/>
      <c r="AG62" s="185"/>
      <c r="AH62" s="186"/>
      <c r="AI62" s="181"/>
      <c r="AJ62" s="24"/>
      <c r="AK62" s="26"/>
      <c r="AL62" s="42" t="str">
        <f>IF(OR(Table13[[#This Row],[Annual Increase Option]]="No increase",Table13[[#This Row],[Annual Increase Option]]=""),"",_xlfn.XLOOKUP(MONTH(Table13[[#This Row],[Commencement Date]]),DropdownList!$A$19:$A$30,DropdownList!$B$19:$B$30,0))</f>
        <v/>
      </c>
      <c r="AM62" s="178"/>
      <c r="AN62" s="178"/>
      <c r="AO62" s="178"/>
      <c r="AP62" s="178"/>
      <c r="AQ62" s="26"/>
      <c r="AR62" s="178"/>
      <c r="AS62" s="178"/>
      <c r="AT62" s="185"/>
      <c r="AU62" s="178"/>
      <c r="AV62" s="181"/>
      <c r="AW62" s="187"/>
      <c r="AY62" s="188">
        <f>'Onboarding Calcs'!Q59</f>
        <v>0</v>
      </c>
    </row>
    <row r="63" spans="1:51" ht="15" customHeight="1" x14ac:dyDescent="0.3">
      <c r="A63" s="190"/>
      <c r="B63" s="178"/>
      <c r="C63" s="178"/>
      <c r="D63" s="178"/>
      <c r="E63" s="78"/>
      <c r="F63" s="78"/>
      <c r="G63" s="179"/>
      <c r="H63" s="180"/>
      <c r="I63" s="181"/>
      <c r="J63" s="175" t="str">
        <f>IF(_xlfn.XLOOKUP(B63,DropdownList!$C$2:$C$8,DropdownList!$B$2:$B$8,0)=0,"",_xlfn.XLOOKUP(B63,DropdownList!$C$2:$C$8,DropdownList!$B$2:$B$8,0))</f>
        <v/>
      </c>
      <c r="K63" s="182"/>
      <c r="L63" s="183"/>
      <c r="M63" s="44">
        <f>IF('Onboarding Calcs'!N60=0,0,'Onboarding Calcs'!N60)</f>
        <v>0</v>
      </c>
      <c r="N63" s="26"/>
      <c r="O63" s="178"/>
      <c r="P63" s="178"/>
      <c r="Q63" s="184"/>
      <c r="R63" s="184"/>
      <c r="S63" s="178"/>
      <c r="T63" s="178"/>
      <c r="U63" s="178"/>
      <c r="V63" s="178"/>
      <c r="W63" s="178"/>
      <c r="X63" s="178"/>
      <c r="Y63" s="185"/>
      <c r="Z63" s="178"/>
      <c r="AA63" s="178"/>
      <c r="AB63" s="178"/>
      <c r="AC63" s="178"/>
      <c r="AD63" s="178"/>
      <c r="AE63" s="185"/>
      <c r="AF63" s="185"/>
      <c r="AG63" s="185"/>
      <c r="AH63" s="186"/>
      <c r="AI63" s="181"/>
      <c r="AJ63" s="24"/>
      <c r="AK63" s="26"/>
      <c r="AL63" s="42" t="str">
        <f>IF(OR(Table13[[#This Row],[Annual Increase Option]]="No increase",Table13[[#This Row],[Annual Increase Option]]=""),"",_xlfn.XLOOKUP(MONTH(Table13[[#This Row],[Commencement Date]]),DropdownList!$A$19:$A$30,DropdownList!$B$19:$B$30,0))</f>
        <v/>
      </c>
      <c r="AM63" s="178"/>
      <c r="AN63" s="178"/>
      <c r="AO63" s="178"/>
      <c r="AP63" s="178"/>
      <c r="AQ63" s="26"/>
      <c r="AR63" s="178"/>
      <c r="AS63" s="178"/>
      <c r="AT63" s="185"/>
      <c r="AU63" s="178"/>
      <c r="AV63" s="181"/>
      <c r="AW63" s="187"/>
      <c r="AY63" s="188">
        <f>'Onboarding Calcs'!Q60</f>
        <v>0</v>
      </c>
    </row>
    <row r="64" spans="1:51" ht="15" customHeight="1" x14ac:dyDescent="0.3">
      <c r="A64" s="190"/>
      <c r="B64" s="178"/>
      <c r="C64" s="178"/>
      <c r="D64" s="178"/>
      <c r="E64" s="78"/>
      <c r="F64" s="78"/>
      <c r="G64" s="179"/>
      <c r="H64" s="180"/>
      <c r="I64" s="181"/>
      <c r="J64" s="175" t="str">
        <f>IF(_xlfn.XLOOKUP(B64,DropdownList!$C$2:$C$8,DropdownList!$B$2:$B$8,0)=0,"",_xlfn.XLOOKUP(B64,DropdownList!$C$2:$C$8,DropdownList!$B$2:$B$8,0))</f>
        <v/>
      </c>
      <c r="K64" s="182"/>
      <c r="L64" s="183"/>
      <c r="M64" s="44">
        <f>IF('Onboarding Calcs'!N61=0,0,'Onboarding Calcs'!N61)</f>
        <v>0</v>
      </c>
      <c r="N64" s="26"/>
      <c r="O64" s="178"/>
      <c r="P64" s="178"/>
      <c r="Q64" s="184"/>
      <c r="R64" s="184"/>
      <c r="S64" s="178"/>
      <c r="T64" s="178"/>
      <c r="U64" s="178"/>
      <c r="V64" s="178"/>
      <c r="W64" s="178"/>
      <c r="X64" s="178"/>
      <c r="Y64" s="185"/>
      <c r="Z64" s="178"/>
      <c r="AA64" s="178"/>
      <c r="AB64" s="178"/>
      <c r="AC64" s="178"/>
      <c r="AD64" s="178"/>
      <c r="AE64" s="185"/>
      <c r="AF64" s="185"/>
      <c r="AG64" s="185"/>
      <c r="AH64" s="186"/>
      <c r="AI64" s="181"/>
      <c r="AJ64" s="24"/>
      <c r="AK64" s="26"/>
      <c r="AL64" s="42" t="str">
        <f>IF(OR(Table13[[#This Row],[Annual Increase Option]]="No increase",Table13[[#This Row],[Annual Increase Option]]=""),"",_xlfn.XLOOKUP(MONTH(Table13[[#This Row],[Commencement Date]]),DropdownList!$A$19:$A$30,DropdownList!$B$19:$B$30,0))</f>
        <v/>
      </c>
      <c r="AM64" s="178"/>
      <c r="AN64" s="178"/>
      <c r="AO64" s="178"/>
      <c r="AP64" s="178"/>
      <c r="AQ64" s="26"/>
      <c r="AR64" s="178"/>
      <c r="AS64" s="178"/>
      <c r="AT64" s="185"/>
      <c r="AU64" s="178"/>
      <c r="AV64" s="181"/>
      <c r="AW64" s="187"/>
      <c r="AY64" s="188">
        <f>'Onboarding Calcs'!Q61</f>
        <v>0</v>
      </c>
    </row>
    <row r="65" spans="1:51" ht="15" customHeight="1" x14ac:dyDescent="0.3">
      <c r="A65" s="190"/>
      <c r="B65" s="178"/>
      <c r="C65" s="178"/>
      <c r="D65" s="178"/>
      <c r="E65" s="78"/>
      <c r="F65" s="78"/>
      <c r="G65" s="179"/>
      <c r="H65" s="180"/>
      <c r="I65" s="181"/>
      <c r="J65" s="175" t="str">
        <f>IF(_xlfn.XLOOKUP(B65,DropdownList!$C$2:$C$8,DropdownList!$B$2:$B$8,0)=0,"",_xlfn.XLOOKUP(B65,DropdownList!$C$2:$C$8,DropdownList!$B$2:$B$8,0))</f>
        <v/>
      </c>
      <c r="K65" s="182"/>
      <c r="L65" s="183"/>
      <c r="M65" s="44">
        <f>IF('Onboarding Calcs'!N62=0,0,'Onboarding Calcs'!N62)</f>
        <v>0</v>
      </c>
      <c r="N65" s="26"/>
      <c r="O65" s="178"/>
      <c r="P65" s="178"/>
      <c r="Q65" s="184"/>
      <c r="R65" s="184"/>
      <c r="S65" s="178"/>
      <c r="T65" s="178"/>
      <c r="U65" s="178"/>
      <c r="V65" s="178"/>
      <c r="W65" s="178"/>
      <c r="X65" s="178"/>
      <c r="Y65" s="185"/>
      <c r="Z65" s="178"/>
      <c r="AA65" s="178"/>
      <c r="AB65" s="178"/>
      <c r="AC65" s="178"/>
      <c r="AD65" s="178"/>
      <c r="AE65" s="185"/>
      <c r="AF65" s="185"/>
      <c r="AG65" s="185"/>
      <c r="AH65" s="186"/>
      <c r="AI65" s="181"/>
      <c r="AJ65" s="24"/>
      <c r="AK65" s="26"/>
      <c r="AL65" s="42" t="str">
        <f>IF(OR(Table13[[#This Row],[Annual Increase Option]]="No increase",Table13[[#This Row],[Annual Increase Option]]=""),"",_xlfn.XLOOKUP(MONTH(Table13[[#This Row],[Commencement Date]]),DropdownList!$A$19:$A$30,DropdownList!$B$19:$B$30,0))</f>
        <v/>
      </c>
      <c r="AM65" s="178"/>
      <c r="AN65" s="178"/>
      <c r="AO65" s="178"/>
      <c r="AP65" s="178"/>
      <c r="AQ65" s="26"/>
      <c r="AR65" s="178"/>
      <c r="AS65" s="178"/>
      <c r="AT65" s="185"/>
      <c r="AU65" s="178"/>
      <c r="AV65" s="181"/>
      <c r="AW65" s="187"/>
      <c r="AY65" s="188">
        <f>'Onboarding Calcs'!Q62</f>
        <v>0</v>
      </c>
    </row>
    <row r="66" spans="1:51" ht="15" customHeight="1" x14ac:dyDescent="0.3">
      <c r="A66" s="190"/>
      <c r="B66" s="178"/>
      <c r="C66" s="178"/>
      <c r="D66" s="178"/>
      <c r="E66" s="78"/>
      <c r="F66" s="78"/>
      <c r="G66" s="179"/>
      <c r="H66" s="180"/>
      <c r="I66" s="181"/>
      <c r="J66" s="175" t="str">
        <f>IF(_xlfn.XLOOKUP(B66,DropdownList!$C$2:$C$8,DropdownList!$B$2:$B$8,0)=0,"",_xlfn.XLOOKUP(B66,DropdownList!$C$2:$C$8,DropdownList!$B$2:$B$8,0))</f>
        <v/>
      </c>
      <c r="K66" s="182"/>
      <c r="L66" s="183"/>
      <c r="M66" s="44">
        <f>IF('Onboarding Calcs'!N63=0,0,'Onboarding Calcs'!N63)</f>
        <v>0</v>
      </c>
      <c r="N66" s="26"/>
      <c r="O66" s="178"/>
      <c r="P66" s="178"/>
      <c r="Q66" s="184"/>
      <c r="R66" s="184"/>
      <c r="S66" s="178"/>
      <c r="T66" s="178"/>
      <c r="U66" s="178"/>
      <c r="V66" s="178"/>
      <c r="W66" s="178"/>
      <c r="X66" s="178"/>
      <c r="Y66" s="185"/>
      <c r="Z66" s="178"/>
      <c r="AA66" s="178"/>
      <c r="AB66" s="178"/>
      <c r="AC66" s="178"/>
      <c r="AD66" s="178"/>
      <c r="AE66" s="185"/>
      <c r="AF66" s="185"/>
      <c r="AG66" s="185"/>
      <c r="AH66" s="186"/>
      <c r="AI66" s="181"/>
      <c r="AJ66" s="24"/>
      <c r="AK66" s="26"/>
      <c r="AL66" s="42" t="str">
        <f>IF(OR(Table13[[#This Row],[Annual Increase Option]]="No increase",Table13[[#This Row],[Annual Increase Option]]=""),"",_xlfn.XLOOKUP(MONTH(Table13[[#This Row],[Commencement Date]]),DropdownList!$A$19:$A$30,DropdownList!$B$19:$B$30,0))</f>
        <v/>
      </c>
      <c r="AM66" s="178"/>
      <c r="AN66" s="178"/>
      <c r="AO66" s="178"/>
      <c r="AP66" s="178"/>
      <c r="AQ66" s="26"/>
      <c r="AR66" s="178"/>
      <c r="AS66" s="178"/>
      <c r="AT66" s="185"/>
      <c r="AU66" s="178"/>
      <c r="AV66" s="181"/>
      <c r="AW66" s="187"/>
      <c r="AY66" s="188">
        <f>'Onboarding Calcs'!Q63</f>
        <v>0</v>
      </c>
    </row>
    <row r="67" spans="1:51" ht="15" customHeight="1" x14ac:dyDescent="0.3">
      <c r="A67" s="190"/>
      <c r="B67" s="178"/>
      <c r="C67" s="178"/>
      <c r="D67" s="178"/>
      <c r="E67" s="78"/>
      <c r="F67" s="78"/>
      <c r="G67" s="179"/>
      <c r="H67" s="180"/>
      <c r="I67" s="181"/>
      <c r="J67" s="175" t="str">
        <f>IF(_xlfn.XLOOKUP(B67,DropdownList!$C$2:$C$8,DropdownList!$B$2:$B$8,0)=0,"",_xlfn.XLOOKUP(B67,DropdownList!$C$2:$C$8,DropdownList!$B$2:$B$8,0))</f>
        <v/>
      </c>
      <c r="K67" s="182"/>
      <c r="L67" s="183"/>
      <c r="M67" s="44">
        <f>IF('Onboarding Calcs'!N64=0,0,'Onboarding Calcs'!N64)</f>
        <v>0</v>
      </c>
      <c r="N67" s="26"/>
      <c r="O67" s="178"/>
      <c r="P67" s="178"/>
      <c r="Q67" s="184"/>
      <c r="R67" s="184"/>
      <c r="S67" s="178"/>
      <c r="T67" s="178"/>
      <c r="U67" s="178"/>
      <c r="V67" s="178"/>
      <c r="W67" s="178"/>
      <c r="X67" s="178"/>
      <c r="Y67" s="185"/>
      <c r="Z67" s="178"/>
      <c r="AA67" s="178"/>
      <c r="AB67" s="178"/>
      <c r="AC67" s="178"/>
      <c r="AD67" s="178"/>
      <c r="AE67" s="185"/>
      <c r="AF67" s="185"/>
      <c r="AG67" s="185"/>
      <c r="AH67" s="186"/>
      <c r="AI67" s="181"/>
      <c r="AJ67" s="24"/>
      <c r="AK67" s="26"/>
      <c r="AL67" s="42" t="str">
        <f>IF(OR(Table13[[#This Row],[Annual Increase Option]]="No increase",Table13[[#This Row],[Annual Increase Option]]=""),"",_xlfn.XLOOKUP(MONTH(Table13[[#This Row],[Commencement Date]]),DropdownList!$A$19:$A$30,DropdownList!$B$19:$B$30,0))</f>
        <v/>
      </c>
      <c r="AM67" s="178"/>
      <c r="AN67" s="178"/>
      <c r="AO67" s="178"/>
      <c r="AP67" s="178"/>
      <c r="AQ67" s="26"/>
      <c r="AR67" s="178"/>
      <c r="AS67" s="178"/>
      <c r="AT67" s="185"/>
      <c r="AU67" s="178"/>
      <c r="AV67" s="181"/>
      <c r="AW67" s="187"/>
      <c r="AY67" s="188">
        <f>'Onboarding Calcs'!Q64</f>
        <v>0</v>
      </c>
    </row>
    <row r="68" spans="1:51" ht="15" customHeight="1" x14ac:dyDescent="0.3">
      <c r="A68" s="190"/>
      <c r="B68" s="178"/>
      <c r="C68" s="178"/>
      <c r="D68" s="178"/>
      <c r="E68" s="78"/>
      <c r="F68" s="78"/>
      <c r="G68" s="179"/>
      <c r="H68" s="180"/>
      <c r="I68" s="181"/>
      <c r="J68" s="175" t="str">
        <f>IF(_xlfn.XLOOKUP(B68,DropdownList!$C$2:$C$8,DropdownList!$B$2:$B$8,0)=0,"",_xlfn.XLOOKUP(B68,DropdownList!$C$2:$C$8,DropdownList!$B$2:$B$8,0))</f>
        <v/>
      </c>
      <c r="K68" s="182"/>
      <c r="L68" s="183"/>
      <c r="M68" s="44">
        <f>IF('Onboarding Calcs'!N65=0,0,'Onboarding Calcs'!N65)</f>
        <v>0</v>
      </c>
      <c r="N68" s="26"/>
      <c r="O68" s="178"/>
      <c r="P68" s="178"/>
      <c r="Q68" s="184"/>
      <c r="R68" s="184"/>
      <c r="S68" s="178"/>
      <c r="T68" s="178"/>
      <c r="U68" s="178"/>
      <c r="V68" s="178"/>
      <c r="W68" s="178"/>
      <c r="X68" s="178"/>
      <c r="Y68" s="185"/>
      <c r="Z68" s="178"/>
      <c r="AA68" s="178"/>
      <c r="AB68" s="178"/>
      <c r="AC68" s="178"/>
      <c r="AD68" s="178"/>
      <c r="AE68" s="185"/>
      <c r="AF68" s="185"/>
      <c r="AG68" s="185"/>
      <c r="AH68" s="186"/>
      <c r="AI68" s="181"/>
      <c r="AJ68" s="24"/>
      <c r="AK68" s="26"/>
      <c r="AL68" s="42" t="str">
        <f>IF(OR(Table13[[#This Row],[Annual Increase Option]]="No increase",Table13[[#This Row],[Annual Increase Option]]=""),"",_xlfn.XLOOKUP(MONTH(Table13[[#This Row],[Commencement Date]]),DropdownList!$A$19:$A$30,DropdownList!$B$19:$B$30,0))</f>
        <v/>
      </c>
      <c r="AM68" s="178"/>
      <c r="AN68" s="178"/>
      <c r="AO68" s="178"/>
      <c r="AP68" s="178"/>
      <c r="AQ68" s="26"/>
      <c r="AR68" s="178"/>
      <c r="AS68" s="178"/>
      <c r="AT68" s="185"/>
      <c r="AU68" s="178"/>
      <c r="AV68" s="181"/>
      <c r="AW68" s="187"/>
      <c r="AY68" s="188">
        <f>'Onboarding Calcs'!Q65</f>
        <v>0</v>
      </c>
    </row>
    <row r="69" spans="1:51" ht="15" customHeight="1" x14ac:dyDescent="0.3">
      <c r="A69" s="190"/>
      <c r="B69" s="178"/>
      <c r="C69" s="178"/>
      <c r="D69" s="178"/>
      <c r="E69" s="78"/>
      <c r="F69" s="78"/>
      <c r="G69" s="179"/>
      <c r="H69" s="180"/>
      <c r="I69" s="181"/>
      <c r="J69" s="175" t="str">
        <f>IF(_xlfn.XLOOKUP(B69,DropdownList!$C$2:$C$8,DropdownList!$B$2:$B$8,0)=0,"",_xlfn.XLOOKUP(B69,DropdownList!$C$2:$C$8,DropdownList!$B$2:$B$8,0))</f>
        <v/>
      </c>
      <c r="K69" s="182"/>
      <c r="L69" s="183"/>
      <c r="M69" s="44">
        <f>IF('Onboarding Calcs'!N66=0,0,'Onboarding Calcs'!N66)</f>
        <v>0</v>
      </c>
      <c r="N69" s="26"/>
      <c r="O69" s="178"/>
      <c r="P69" s="178"/>
      <c r="Q69" s="184"/>
      <c r="R69" s="184"/>
      <c r="S69" s="178"/>
      <c r="T69" s="178"/>
      <c r="U69" s="178"/>
      <c r="V69" s="178"/>
      <c r="W69" s="178"/>
      <c r="X69" s="178"/>
      <c r="Y69" s="185"/>
      <c r="Z69" s="178"/>
      <c r="AA69" s="178"/>
      <c r="AB69" s="178"/>
      <c r="AC69" s="178"/>
      <c r="AD69" s="178"/>
      <c r="AE69" s="185"/>
      <c r="AF69" s="185"/>
      <c r="AG69" s="185"/>
      <c r="AH69" s="186"/>
      <c r="AI69" s="181"/>
      <c r="AJ69" s="24"/>
      <c r="AK69" s="26"/>
      <c r="AL69" s="42" t="str">
        <f>IF(OR(Table13[[#This Row],[Annual Increase Option]]="No increase",Table13[[#This Row],[Annual Increase Option]]=""),"",_xlfn.XLOOKUP(MONTH(Table13[[#This Row],[Commencement Date]]),DropdownList!$A$19:$A$30,DropdownList!$B$19:$B$30,0))</f>
        <v/>
      </c>
      <c r="AM69" s="178"/>
      <c r="AN69" s="178"/>
      <c r="AO69" s="178"/>
      <c r="AP69" s="178"/>
      <c r="AQ69" s="26"/>
      <c r="AR69" s="178"/>
      <c r="AS69" s="178"/>
      <c r="AT69" s="185"/>
      <c r="AU69" s="178"/>
      <c r="AV69" s="181"/>
      <c r="AW69" s="187"/>
      <c r="AY69" s="188">
        <f>'Onboarding Calcs'!Q66</f>
        <v>0</v>
      </c>
    </row>
    <row r="70" spans="1:51" ht="15" customHeight="1" x14ac:dyDescent="0.3">
      <c r="A70" s="190"/>
      <c r="B70" s="178"/>
      <c r="C70" s="178"/>
      <c r="D70" s="178"/>
      <c r="E70" s="78"/>
      <c r="F70" s="78"/>
      <c r="G70" s="179"/>
      <c r="H70" s="180"/>
      <c r="I70" s="181"/>
      <c r="J70" s="175" t="str">
        <f>IF(_xlfn.XLOOKUP(B70,DropdownList!$C$2:$C$8,DropdownList!$B$2:$B$8,0)=0,"",_xlfn.XLOOKUP(B70,DropdownList!$C$2:$C$8,DropdownList!$B$2:$B$8,0))</f>
        <v/>
      </c>
      <c r="K70" s="182"/>
      <c r="L70" s="183"/>
      <c r="M70" s="44">
        <f>IF('Onboarding Calcs'!N67=0,0,'Onboarding Calcs'!N67)</f>
        <v>0</v>
      </c>
      <c r="N70" s="26"/>
      <c r="O70" s="178"/>
      <c r="P70" s="178"/>
      <c r="Q70" s="184"/>
      <c r="R70" s="184"/>
      <c r="S70" s="178"/>
      <c r="T70" s="178"/>
      <c r="U70" s="178"/>
      <c r="V70" s="178"/>
      <c r="W70" s="178"/>
      <c r="X70" s="178"/>
      <c r="Y70" s="185"/>
      <c r="Z70" s="178"/>
      <c r="AA70" s="178"/>
      <c r="AB70" s="178"/>
      <c r="AC70" s="178"/>
      <c r="AD70" s="178"/>
      <c r="AE70" s="185"/>
      <c r="AF70" s="185"/>
      <c r="AG70" s="185"/>
      <c r="AH70" s="186"/>
      <c r="AI70" s="181"/>
      <c r="AJ70" s="24"/>
      <c r="AK70" s="26"/>
      <c r="AL70" s="42" t="str">
        <f>IF(OR(Table13[[#This Row],[Annual Increase Option]]="No increase",Table13[[#This Row],[Annual Increase Option]]=""),"",_xlfn.XLOOKUP(MONTH(Table13[[#This Row],[Commencement Date]]),DropdownList!$A$19:$A$30,DropdownList!$B$19:$B$30,0))</f>
        <v/>
      </c>
      <c r="AM70" s="178"/>
      <c r="AN70" s="178"/>
      <c r="AO70" s="178"/>
      <c r="AP70" s="178"/>
      <c r="AQ70" s="26"/>
      <c r="AR70" s="178"/>
      <c r="AS70" s="178"/>
      <c r="AT70" s="185"/>
      <c r="AU70" s="178"/>
      <c r="AV70" s="181"/>
      <c r="AW70" s="187"/>
      <c r="AY70" s="188">
        <f>'Onboarding Calcs'!Q67</f>
        <v>0</v>
      </c>
    </row>
    <row r="71" spans="1:51" ht="15" customHeight="1" x14ac:dyDescent="0.3">
      <c r="A71" s="190"/>
      <c r="B71" s="178"/>
      <c r="C71" s="178"/>
      <c r="D71" s="178"/>
      <c r="E71" s="78"/>
      <c r="F71" s="78"/>
      <c r="G71" s="179"/>
      <c r="H71" s="180"/>
      <c r="I71" s="181"/>
      <c r="J71" s="175" t="str">
        <f>IF(_xlfn.XLOOKUP(B71,DropdownList!$C$2:$C$8,DropdownList!$B$2:$B$8,0)=0,"",_xlfn.XLOOKUP(B71,DropdownList!$C$2:$C$8,DropdownList!$B$2:$B$8,0))</f>
        <v/>
      </c>
      <c r="K71" s="182"/>
      <c r="L71" s="183"/>
      <c r="M71" s="44">
        <f>IF('Onboarding Calcs'!N68=0,0,'Onboarding Calcs'!N68)</f>
        <v>0</v>
      </c>
      <c r="N71" s="26"/>
      <c r="O71" s="178"/>
      <c r="P71" s="178"/>
      <c r="Q71" s="184"/>
      <c r="R71" s="184"/>
      <c r="S71" s="178"/>
      <c r="T71" s="178"/>
      <c r="U71" s="178"/>
      <c r="V71" s="178"/>
      <c r="W71" s="178"/>
      <c r="X71" s="178"/>
      <c r="Y71" s="185"/>
      <c r="Z71" s="178"/>
      <c r="AA71" s="178"/>
      <c r="AB71" s="178"/>
      <c r="AC71" s="178"/>
      <c r="AD71" s="178"/>
      <c r="AE71" s="185"/>
      <c r="AF71" s="185"/>
      <c r="AG71" s="185"/>
      <c r="AH71" s="186"/>
      <c r="AI71" s="181"/>
      <c r="AJ71" s="24"/>
      <c r="AK71" s="26"/>
      <c r="AL71" s="42" t="str">
        <f>IF(OR(Table13[[#This Row],[Annual Increase Option]]="No increase",Table13[[#This Row],[Annual Increase Option]]=""),"",_xlfn.XLOOKUP(MONTH(Table13[[#This Row],[Commencement Date]]),DropdownList!$A$19:$A$30,DropdownList!$B$19:$B$30,0))</f>
        <v/>
      </c>
      <c r="AM71" s="178"/>
      <c r="AN71" s="178"/>
      <c r="AO71" s="178"/>
      <c r="AP71" s="178"/>
      <c r="AQ71" s="26"/>
      <c r="AR71" s="178"/>
      <c r="AS71" s="178"/>
      <c r="AT71" s="185"/>
      <c r="AU71" s="178"/>
      <c r="AV71" s="181"/>
      <c r="AW71" s="187"/>
      <c r="AY71" s="188">
        <f>'Onboarding Calcs'!Q68</f>
        <v>0</v>
      </c>
    </row>
    <row r="72" spans="1:51" ht="15" customHeight="1" x14ac:dyDescent="0.3">
      <c r="A72" s="190"/>
      <c r="B72" s="178"/>
      <c r="C72" s="178"/>
      <c r="D72" s="178"/>
      <c r="E72" s="78"/>
      <c r="F72" s="78"/>
      <c r="G72" s="179"/>
      <c r="H72" s="180"/>
      <c r="I72" s="181"/>
      <c r="J72" s="175" t="str">
        <f>IF(_xlfn.XLOOKUP(B72,DropdownList!$C$2:$C$8,DropdownList!$B$2:$B$8,0)=0,"",_xlfn.XLOOKUP(B72,DropdownList!$C$2:$C$8,DropdownList!$B$2:$B$8,0))</f>
        <v/>
      </c>
      <c r="K72" s="182"/>
      <c r="L72" s="183"/>
      <c r="M72" s="44">
        <f>IF('Onboarding Calcs'!N69=0,0,'Onboarding Calcs'!N69)</f>
        <v>0</v>
      </c>
      <c r="N72" s="26"/>
      <c r="O72" s="178"/>
      <c r="P72" s="178"/>
      <c r="Q72" s="184"/>
      <c r="R72" s="184"/>
      <c r="S72" s="178"/>
      <c r="T72" s="178"/>
      <c r="U72" s="178"/>
      <c r="V72" s="178"/>
      <c r="W72" s="178"/>
      <c r="X72" s="178"/>
      <c r="Y72" s="185"/>
      <c r="Z72" s="178"/>
      <c r="AA72" s="178"/>
      <c r="AB72" s="178"/>
      <c r="AC72" s="178"/>
      <c r="AD72" s="178"/>
      <c r="AE72" s="185"/>
      <c r="AF72" s="185"/>
      <c r="AG72" s="185"/>
      <c r="AH72" s="186"/>
      <c r="AI72" s="181"/>
      <c r="AJ72" s="24"/>
      <c r="AK72" s="26"/>
      <c r="AL72" s="42" t="str">
        <f>IF(OR(Table13[[#This Row],[Annual Increase Option]]="No increase",Table13[[#This Row],[Annual Increase Option]]=""),"",_xlfn.XLOOKUP(MONTH(Table13[[#This Row],[Commencement Date]]),DropdownList!$A$19:$A$30,DropdownList!$B$19:$B$30,0))</f>
        <v/>
      </c>
      <c r="AM72" s="178"/>
      <c r="AN72" s="178"/>
      <c r="AO72" s="178"/>
      <c r="AP72" s="178"/>
      <c r="AQ72" s="26"/>
      <c r="AR72" s="178"/>
      <c r="AS72" s="178"/>
      <c r="AT72" s="185"/>
      <c r="AU72" s="178"/>
      <c r="AV72" s="181"/>
      <c r="AW72" s="187"/>
      <c r="AY72" s="188">
        <f>'Onboarding Calcs'!Q69</f>
        <v>0</v>
      </c>
    </row>
    <row r="73" spans="1:51" ht="15" customHeight="1" x14ac:dyDescent="0.3">
      <c r="A73" s="190"/>
      <c r="B73" s="178"/>
      <c r="C73" s="178"/>
      <c r="D73" s="178"/>
      <c r="E73" s="78"/>
      <c r="F73" s="78"/>
      <c r="G73" s="179"/>
      <c r="H73" s="180"/>
      <c r="I73" s="181"/>
      <c r="J73" s="175" t="str">
        <f>IF(_xlfn.XLOOKUP(B73,DropdownList!$C$2:$C$8,DropdownList!$B$2:$B$8,0)=0,"",_xlfn.XLOOKUP(B73,DropdownList!$C$2:$C$8,DropdownList!$B$2:$B$8,0))</f>
        <v/>
      </c>
      <c r="K73" s="182"/>
      <c r="L73" s="183"/>
      <c r="M73" s="44">
        <f>IF('Onboarding Calcs'!N70=0,0,'Onboarding Calcs'!N70)</f>
        <v>0</v>
      </c>
      <c r="N73" s="26"/>
      <c r="O73" s="178"/>
      <c r="P73" s="178"/>
      <c r="Q73" s="184"/>
      <c r="R73" s="184"/>
      <c r="S73" s="178"/>
      <c r="T73" s="178"/>
      <c r="U73" s="178"/>
      <c r="V73" s="178"/>
      <c r="W73" s="178"/>
      <c r="X73" s="178"/>
      <c r="Y73" s="185"/>
      <c r="Z73" s="178"/>
      <c r="AA73" s="178"/>
      <c r="AB73" s="178"/>
      <c r="AC73" s="178"/>
      <c r="AD73" s="178"/>
      <c r="AE73" s="185"/>
      <c r="AF73" s="185"/>
      <c r="AG73" s="185"/>
      <c r="AH73" s="186"/>
      <c r="AI73" s="181"/>
      <c r="AJ73" s="24"/>
      <c r="AK73" s="26"/>
      <c r="AL73" s="42" t="str">
        <f>IF(OR(Table13[[#This Row],[Annual Increase Option]]="No increase",Table13[[#This Row],[Annual Increase Option]]=""),"",_xlfn.XLOOKUP(MONTH(Table13[[#This Row],[Commencement Date]]),DropdownList!$A$19:$A$30,DropdownList!$B$19:$B$30,0))</f>
        <v/>
      </c>
      <c r="AM73" s="178"/>
      <c r="AN73" s="178"/>
      <c r="AO73" s="178"/>
      <c r="AP73" s="178"/>
      <c r="AQ73" s="26"/>
      <c r="AR73" s="178"/>
      <c r="AS73" s="178"/>
      <c r="AT73" s="185"/>
      <c r="AU73" s="178"/>
      <c r="AV73" s="181"/>
      <c r="AW73" s="187"/>
      <c r="AY73" s="188">
        <f>'Onboarding Calcs'!Q70</f>
        <v>0</v>
      </c>
    </row>
    <row r="74" spans="1:51" ht="15" customHeight="1" x14ac:dyDescent="0.3">
      <c r="A74" s="190"/>
      <c r="B74" s="178"/>
      <c r="C74" s="178"/>
      <c r="D74" s="178"/>
      <c r="E74" s="78"/>
      <c r="F74" s="78"/>
      <c r="G74" s="179"/>
      <c r="H74" s="180"/>
      <c r="I74" s="181"/>
      <c r="J74" s="175" t="str">
        <f>IF(_xlfn.XLOOKUP(B74,DropdownList!$C$2:$C$8,DropdownList!$B$2:$B$8,0)=0,"",_xlfn.XLOOKUP(B74,DropdownList!$C$2:$C$8,DropdownList!$B$2:$B$8,0))</f>
        <v/>
      </c>
      <c r="K74" s="182"/>
      <c r="L74" s="183"/>
      <c r="M74" s="44">
        <f>IF('Onboarding Calcs'!N71=0,0,'Onboarding Calcs'!N71)</f>
        <v>0</v>
      </c>
      <c r="N74" s="26"/>
      <c r="O74" s="178"/>
      <c r="P74" s="178"/>
      <c r="Q74" s="184"/>
      <c r="R74" s="184"/>
      <c r="S74" s="178"/>
      <c r="T74" s="178"/>
      <c r="U74" s="178"/>
      <c r="V74" s="178"/>
      <c r="W74" s="178"/>
      <c r="X74" s="178"/>
      <c r="Y74" s="185"/>
      <c r="Z74" s="178"/>
      <c r="AA74" s="178"/>
      <c r="AB74" s="178"/>
      <c r="AC74" s="178"/>
      <c r="AD74" s="178"/>
      <c r="AE74" s="185"/>
      <c r="AF74" s="185"/>
      <c r="AG74" s="185"/>
      <c r="AH74" s="186"/>
      <c r="AI74" s="181"/>
      <c r="AJ74" s="24"/>
      <c r="AK74" s="26"/>
      <c r="AL74" s="42" t="str">
        <f>IF(OR(Table13[[#This Row],[Annual Increase Option]]="No increase",Table13[[#This Row],[Annual Increase Option]]=""),"",_xlfn.XLOOKUP(MONTH(Table13[[#This Row],[Commencement Date]]),DropdownList!$A$19:$A$30,DropdownList!$B$19:$B$30,0))</f>
        <v/>
      </c>
      <c r="AM74" s="178"/>
      <c r="AN74" s="178"/>
      <c r="AO74" s="178"/>
      <c r="AP74" s="178"/>
      <c r="AQ74" s="26"/>
      <c r="AR74" s="178"/>
      <c r="AS74" s="178"/>
      <c r="AT74" s="185"/>
      <c r="AU74" s="178"/>
      <c r="AV74" s="181"/>
      <c r="AW74" s="187"/>
      <c r="AY74" s="188">
        <f>'Onboarding Calcs'!Q71</f>
        <v>0</v>
      </c>
    </row>
    <row r="75" spans="1:51" ht="15" customHeight="1" x14ac:dyDescent="0.3">
      <c r="A75" s="190"/>
      <c r="B75" s="178"/>
      <c r="C75" s="178"/>
      <c r="D75" s="178"/>
      <c r="E75" s="78"/>
      <c r="F75" s="78"/>
      <c r="G75" s="179"/>
      <c r="H75" s="180"/>
      <c r="I75" s="181"/>
      <c r="J75" s="175" t="str">
        <f>IF(_xlfn.XLOOKUP(B75,DropdownList!$C$2:$C$8,DropdownList!$B$2:$B$8,0)=0,"",_xlfn.XLOOKUP(B75,DropdownList!$C$2:$C$8,DropdownList!$B$2:$B$8,0))</f>
        <v/>
      </c>
      <c r="K75" s="182"/>
      <c r="L75" s="183"/>
      <c r="M75" s="44">
        <f>IF('Onboarding Calcs'!N72=0,0,'Onboarding Calcs'!N72)</f>
        <v>0</v>
      </c>
      <c r="N75" s="26"/>
      <c r="O75" s="178"/>
      <c r="P75" s="178"/>
      <c r="Q75" s="184"/>
      <c r="R75" s="184"/>
      <c r="S75" s="178"/>
      <c r="T75" s="178"/>
      <c r="U75" s="178"/>
      <c r="V75" s="178"/>
      <c r="W75" s="178"/>
      <c r="X75" s="178"/>
      <c r="Y75" s="185"/>
      <c r="Z75" s="178"/>
      <c r="AA75" s="178"/>
      <c r="AB75" s="178"/>
      <c r="AC75" s="178"/>
      <c r="AD75" s="178"/>
      <c r="AE75" s="185"/>
      <c r="AF75" s="185"/>
      <c r="AG75" s="185"/>
      <c r="AH75" s="186"/>
      <c r="AI75" s="181"/>
      <c r="AJ75" s="24"/>
      <c r="AK75" s="26"/>
      <c r="AL75" s="42" t="str">
        <f>IF(OR(Table13[[#This Row],[Annual Increase Option]]="No increase",Table13[[#This Row],[Annual Increase Option]]=""),"",_xlfn.XLOOKUP(MONTH(Table13[[#This Row],[Commencement Date]]),DropdownList!$A$19:$A$30,DropdownList!$B$19:$B$30,0))</f>
        <v/>
      </c>
      <c r="AM75" s="178"/>
      <c r="AN75" s="178"/>
      <c r="AO75" s="178"/>
      <c r="AP75" s="178"/>
      <c r="AQ75" s="26"/>
      <c r="AR75" s="178"/>
      <c r="AS75" s="178"/>
      <c r="AT75" s="185"/>
      <c r="AU75" s="178"/>
      <c r="AV75" s="181"/>
      <c r="AW75" s="187"/>
      <c r="AY75" s="188">
        <f>'Onboarding Calcs'!Q72</f>
        <v>0</v>
      </c>
    </row>
    <row r="76" spans="1:51" ht="15" customHeight="1" x14ac:dyDescent="0.3">
      <c r="A76" s="190"/>
      <c r="B76" s="178"/>
      <c r="C76" s="178"/>
      <c r="D76" s="178"/>
      <c r="E76" s="78"/>
      <c r="F76" s="78"/>
      <c r="G76" s="179"/>
      <c r="H76" s="180"/>
      <c r="I76" s="181"/>
      <c r="J76" s="175" t="str">
        <f>IF(_xlfn.XLOOKUP(B76,DropdownList!$C$2:$C$8,DropdownList!$B$2:$B$8,0)=0,"",_xlfn.XLOOKUP(B76,DropdownList!$C$2:$C$8,DropdownList!$B$2:$B$8,0))</f>
        <v/>
      </c>
      <c r="K76" s="182"/>
      <c r="L76" s="183"/>
      <c r="M76" s="44">
        <f>IF('Onboarding Calcs'!N73=0,0,'Onboarding Calcs'!N73)</f>
        <v>0</v>
      </c>
      <c r="N76" s="26"/>
      <c r="O76" s="178"/>
      <c r="P76" s="178"/>
      <c r="Q76" s="184"/>
      <c r="R76" s="184"/>
      <c r="S76" s="178"/>
      <c r="T76" s="178"/>
      <c r="U76" s="178"/>
      <c r="V76" s="178"/>
      <c r="W76" s="178"/>
      <c r="X76" s="178"/>
      <c r="Y76" s="185"/>
      <c r="Z76" s="178"/>
      <c r="AA76" s="178"/>
      <c r="AB76" s="178"/>
      <c r="AC76" s="178"/>
      <c r="AD76" s="178"/>
      <c r="AE76" s="185"/>
      <c r="AF76" s="185"/>
      <c r="AG76" s="185"/>
      <c r="AH76" s="186"/>
      <c r="AI76" s="181"/>
      <c r="AJ76" s="24"/>
      <c r="AK76" s="26"/>
      <c r="AL76" s="42" t="str">
        <f>IF(OR(Table13[[#This Row],[Annual Increase Option]]="No increase",Table13[[#This Row],[Annual Increase Option]]=""),"",_xlfn.XLOOKUP(MONTH(Table13[[#This Row],[Commencement Date]]),DropdownList!$A$19:$A$30,DropdownList!$B$19:$B$30,0))</f>
        <v/>
      </c>
      <c r="AM76" s="178"/>
      <c r="AN76" s="178"/>
      <c r="AO76" s="178"/>
      <c r="AP76" s="178"/>
      <c r="AQ76" s="26"/>
      <c r="AR76" s="178"/>
      <c r="AS76" s="178"/>
      <c r="AT76" s="185"/>
      <c r="AU76" s="178"/>
      <c r="AV76" s="181"/>
      <c r="AW76" s="187"/>
      <c r="AY76" s="188">
        <f>'Onboarding Calcs'!Q73</f>
        <v>0</v>
      </c>
    </row>
    <row r="77" spans="1:51" ht="15" customHeight="1" x14ac:dyDescent="0.3">
      <c r="A77" s="190"/>
      <c r="B77" s="178"/>
      <c r="C77" s="178"/>
      <c r="D77" s="178"/>
      <c r="E77" s="78"/>
      <c r="F77" s="78"/>
      <c r="G77" s="179"/>
      <c r="H77" s="180"/>
      <c r="I77" s="181"/>
      <c r="J77" s="175" t="str">
        <f>IF(_xlfn.XLOOKUP(B77,DropdownList!$C$2:$C$8,DropdownList!$B$2:$B$8,0)=0,"",_xlfn.XLOOKUP(B77,DropdownList!$C$2:$C$8,DropdownList!$B$2:$B$8,0))</f>
        <v/>
      </c>
      <c r="K77" s="182"/>
      <c r="L77" s="183"/>
      <c r="M77" s="44">
        <f>IF('Onboarding Calcs'!N74=0,0,'Onboarding Calcs'!N74)</f>
        <v>0</v>
      </c>
      <c r="N77" s="26"/>
      <c r="O77" s="178"/>
      <c r="P77" s="178"/>
      <c r="Q77" s="184"/>
      <c r="R77" s="184"/>
      <c r="S77" s="178"/>
      <c r="T77" s="178"/>
      <c r="U77" s="178"/>
      <c r="V77" s="178"/>
      <c r="W77" s="178"/>
      <c r="X77" s="178"/>
      <c r="Y77" s="185"/>
      <c r="Z77" s="178"/>
      <c r="AA77" s="178"/>
      <c r="AB77" s="178"/>
      <c r="AC77" s="178"/>
      <c r="AD77" s="178"/>
      <c r="AE77" s="185"/>
      <c r="AF77" s="185"/>
      <c r="AG77" s="185"/>
      <c r="AH77" s="186"/>
      <c r="AI77" s="181"/>
      <c r="AJ77" s="24"/>
      <c r="AK77" s="26"/>
      <c r="AL77" s="42" t="str">
        <f>IF(OR(Table13[[#This Row],[Annual Increase Option]]="No increase",Table13[[#This Row],[Annual Increase Option]]=""),"",_xlfn.XLOOKUP(MONTH(Table13[[#This Row],[Commencement Date]]),DropdownList!$A$19:$A$30,DropdownList!$B$19:$B$30,0))</f>
        <v/>
      </c>
      <c r="AM77" s="178"/>
      <c r="AN77" s="178"/>
      <c r="AO77" s="178"/>
      <c r="AP77" s="178"/>
      <c r="AQ77" s="26"/>
      <c r="AR77" s="178"/>
      <c r="AS77" s="178"/>
      <c r="AT77" s="185"/>
      <c r="AU77" s="178"/>
      <c r="AV77" s="181"/>
      <c r="AW77" s="187"/>
      <c r="AY77" s="188">
        <f>'Onboarding Calcs'!Q74</f>
        <v>0</v>
      </c>
    </row>
    <row r="78" spans="1:51" ht="15" customHeight="1" x14ac:dyDescent="0.3">
      <c r="A78" s="190"/>
      <c r="B78" s="178"/>
      <c r="C78" s="178"/>
      <c r="D78" s="178"/>
      <c r="E78" s="78"/>
      <c r="F78" s="78"/>
      <c r="G78" s="179"/>
      <c r="H78" s="180"/>
      <c r="I78" s="181"/>
      <c r="J78" s="175" t="str">
        <f>IF(_xlfn.XLOOKUP(B78,DropdownList!$C$2:$C$8,DropdownList!$B$2:$B$8,0)=0,"",_xlfn.XLOOKUP(B78,DropdownList!$C$2:$C$8,DropdownList!$B$2:$B$8,0))</f>
        <v/>
      </c>
      <c r="K78" s="182"/>
      <c r="L78" s="183"/>
      <c r="M78" s="44">
        <f>IF('Onboarding Calcs'!N75=0,0,'Onboarding Calcs'!N75)</f>
        <v>0</v>
      </c>
      <c r="N78" s="26"/>
      <c r="O78" s="178"/>
      <c r="P78" s="178"/>
      <c r="Q78" s="184"/>
      <c r="R78" s="184"/>
      <c r="S78" s="178"/>
      <c r="T78" s="178"/>
      <c r="U78" s="178"/>
      <c r="V78" s="178"/>
      <c r="W78" s="178"/>
      <c r="X78" s="178"/>
      <c r="Y78" s="185"/>
      <c r="Z78" s="178"/>
      <c r="AA78" s="178"/>
      <c r="AB78" s="178"/>
      <c r="AC78" s="178"/>
      <c r="AD78" s="178"/>
      <c r="AE78" s="185"/>
      <c r="AF78" s="185"/>
      <c r="AG78" s="185"/>
      <c r="AH78" s="186"/>
      <c r="AI78" s="181"/>
      <c r="AJ78" s="24"/>
      <c r="AK78" s="26"/>
      <c r="AL78" s="42" t="str">
        <f>IF(OR(Table13[[#This Row],[Annual Increase Option]]="No increase",Table13[[#This Row],[Annual Increase Option]]=""),"",_xlfn.XLOOKUP(MONTH(Table13[[#This Row],[Commencement Date]]),DropdownList!$A$19:$A$30,DropdownList!$B$19:$B$30,0))</f>
        <v/>
      </c>
      <c r="AM78" s="178"/>
      <c r="AN78" s="178"/>
      <c r="AO78" s="178"/>
      <c r="AP78" s="178"/>
      <c r="AQ78" s="26"/>
      <c r="AR78" s="178"/>
      <c r="AS78" s="178"/>
      <c r="AT78" s="185"/>
      <c r="AU78" s="178"/>
      <c r="AV78" s="181"/>
      <c r="AW78" s="187"/>
      <c r="AY78" s="188">
        <f>'Onboarding Calcs'!Q75</f>
        <v>0</v>
      </c>
    </row>
    <row r="79" spans="1:51" ht="15" customHeight="1" x14ac:dyDescent="0.3">
      <c r="A79" s="190"/>
      <c r="B79" s="178"/>
      <c r="C79" s="178"/>
      <c r="D79" s="178"/>
      <c r="E79" s="78"/>
      <c r="F79" s="78"/>
      <c r="G79" s="179"/>
      <c r="H79" s="180"/>
      <c r="I79" s="181"/>
      <c r="J79" s="175" t="str">
        <f>IF(_xlfn.XLOOKUP(B79,DropdownList!$C$2:$C$8,DropdownList!$B$2:$B$8,0)=0,"",_xlfn.XLOOKUP(B79,DropdownList!$C$2:$C$8,DropdownList!$B$2:$B$8,0))</f>
        <v/>
      </c>
      <c r="K79" s="182"/>
      <c r="L79" s="183"/>
      <c r="M79" s="44">
        <f>IF('Onboarding Calcs'!N76=0,0,'Onboarding Calcs'!N76)</f>
        <v>0</v>
      </c>
      <c r="N79" s="26"/>
      <c r="O79" s="178"/>
      <c r="P79" s="178"/>
      <c r="Q79" s="184"/>
      <c r="R79" s="184"/>
      <c r="S79" s="178"/>
      <c r="T79" s="178"/>
      <c r="U79" s="178"/>
      <c r="V79" s="178"/>
      <c r="W79" s="178"/>
      <c r="X79" s="178"/>
      <c r="Y79" s="185"/>
      <c r="Z79" s="178"/>
      <c r="AA79" s="178"/>
      <c r="AB79" s="178"/>
      <c r="AC79" s="178"/>
      <c r="AD79" s="178"/>
      <c r="AE79" s="185"/>
      <c r="AF79" s="185"/>
      <c r="AG79" s="185"/>
      <c r="AH79" s="186"/>
      <c r="AI79" s="181"/>
      <c r="AJ79" s="24"/>
      <c r="AK79" s="26"/>
      <c r="AL79" s="42" t="str">
        <f>IF(OR(Table13[[#This Row],[Annual Increase Option]]="No increase",Table13[[#This Row],[Annual Increase Option]]=""),"",_xlfn.XLOOKUP(MONTH(Table13[[#This Row],[Commencement Date]]),DropdownList!$A$19:$A$30,DropdownList!$B$19:$B$30,0))</f>
        <v/>
      </c>
      <c r="AM79" s="178"/>
      <c r="AN79" s="178"/>
      <c r="AO79" s="178"/>
      <c r="AP79" s="178"/>
      <c r="AQ79" s="26"/>
      <c r="AR79" s="178"/>
      <c r="AS79" s="178"/>
      <c r="AT79" s="185"/>
      <c r="AU79" s="178"/>
      <c r="AV79" s="181"/>
      <c r="AW79" s="187"/>
      <c r="AY79" s="188">
        <f>'Onboarding Calcs'!Q76</f>
        <v>0</v>
      </c>
    </row>
    <row r="80" spans="1:51" ht="15" customHeight="1" x14ac:dyDescent="0.3">
      <c r="A80" s="190"/>
      <c r="B80" s="178"/>
      <c r="C80" s="178"/>
      <c r="D80" s="178"/>
      <c r="E80" s="78"/>
      <c r="F80" s="78"/>
      <c r="G80" s="179"/>
      <c r="H80" s="180"/>
      <c r="I80" s="181"/>
      <c r="J80" s="175" t="str">
        <f>IF(_xlfn.XLOOKUP(B80,DropdownList!$C$2:$C$8,DropdownList!$B$2:$B$8,0)=0,"",_xlfn.XLOOKUP(B80,DropdownList!$C$2:$C$8,DropdownList!$B$2:$B$8,0))</f>
        <v/>
      </c>
      <c r="K80" s="182"/>
      <c r="L80" s="183"/>
      <c r="M80" s="44">
        <f>IF('Onboarding Calcs'!N77=0,0,'Onboarding Calcs'!N77)</f>
        <v>0</v>
      </c>
      <c r="N80" s="26"/>
      <c r="O80" s="178"/>
      <c r="P80" s="178"/>
      <c r="Q80" s="184"/>
      <c r="R80" s="184"/>
      <c r="S80" s="178"/>
      <c r="T80" s="178"/>
      <c r="U80" s="178"/>
      <c r="V80" s="178"/>
      <c r="W80" s="178"/>
      <c r="X80" s="178"/>
      <c r="Y80" s="185"/>
      <c r="Z80" s="178"/>
      <c r="AA80" s="178"/>
      <c r="AB80" s="178"/>
      <c r="AC80" s="178"/>
      <c r="AD80" s="178"/>
      <c r="AE80" s="185"/>
      <c r="AF80" s="185"/>
      <c r="AG80" s="185"/>
      <c r="AH80" s="186"/>
      <c r="AI80" s="181"/>
      <c r="AJ80" s="24"/>
      <c r="AK80" s="26"/>
      <c r="AL80" s="42" t="str">
        <f>IF(OR(Table13[[#This Row],[Annual Increase Option]]="No increase",Table13[[#This Row],[Annual Increase Option]]=""),"",_xlfn.XLOOKUP(MONTH(Table13[[#This Row],[Commencement Date]]),DropdownList!$A$19:$A$30,DropdownList!$B$19:$B$30,0))</f>
        <v/>
      </c>
      <c r="AM80" s="178"/>
      <c r="AN80" s="178"/>
      <c r="AO80" s="178"/>
      <c r="AP80" s="178"/>
      <c r="AQ80" s="26"/>
      <c r="AR80" s="178"/>
      <c r="AS80" s="178"/>
      <c r="AT80" s="185"/>
      <c r="AU80" s="178"/>
      <c r="AV80" s="181"/>
      <c r="AW80" s="187"/>
      <c r="AY80" s="188">
        <f>'Onboarding Calcs'!Q77</f>
        <v>0</v>
      </c>
    </row>
    <row r="81" spans="1:51" ht="15" customHeight="1" x14ac:dyDescent="0.3">
      <c r="A81" s="190"/>
      <c r="B81" s="178"/>
      <c r="C81" s="178"/>
      <c r="D81" s="178"/>
      <c r="E81" s="78"/>
      <c r="F81" s="78"/>
      <c r="G81" s="179"/>
      <c r="H81" s="180"/>
      <c r="I81" s="181"/>
      <c r="J81" s="175" t="str">
        <f>IF(_xlfn.XLOOKUP(B81,DropdownList!$C$2:$C$8,DropdownList!$B$2:$B$8,0)=0,"",_xlfn.XLOOKUP(B81,DropdownList!$C$2:$C$8,DropdownList!$B$2:$B$8,0))</f>
        <v/>
      </c>
      <c r="K81" s="182"/>
      <c r="L81" s="183"/>
      <c r="M81" s="44">
        <f>IF('Onboarding Calcs'!N78=0,0,'Onboarding Calcs'!N78)</f>
        <v>0</v>
      </c>
      <c r="N81" s="26"/>
      <c r="O81" s="178"/>
      <c r="P81" s="178"/>
      <c r="Q81" s="184"/>
      <c r="R81" s="184"/>
      <c r="S81" s="178"/>
      <c r="T81" s="178"/>
      <c r="U81" s="178"/>
      <c r="V81" s="178"/>
      <c r="W81" s="178"/>
      <c r="X81" s="178"/>
      <c r="Y81" s="185"/>
      <c r="Z81" s="178"/>
      <c r="AA81" s="178"/>
      <c r="AB81" s="178"/>
      <c r="AC81" s="178"/>
      <c r="AD81" s="178"/>
      <c r="AE81" s="185"/>
      <c r="AF81" s="185"/>
      <c r="AG81" s="185"/>
      <c r="AH81" s="186"/>
      <c r="AI81" s="181"/>
      <c r="AJ81" s="24"/>
      <c r="AK81" s="26"/>
      <c r="AL81" s="42" t="str">
        <f>IF(OR(Table13[[#This Row],[Annual Increase Option]]="No increase",Table13[[#This Row],[Annual Increase Option]]=""),"",_xlfn.XLOOKUP(MONTH(Table13[[#This Row],[Commencement Date]]),DropdownList!$A$19:$A$30,DropdownList!$B$19:$B$30,0))</f>
        <v/>
      </c>
      <c r="AM81" s="178"/>
      <c r="AN81" s="178"/>
      <c r="AO81" s="178"/>
      <c r="AP81" s="178"/>
      <c r="AQ81" s="26"/>
      <c r="AR81" s="178"/>
      <c r="AS81" s="178"/>
      <c r="AT81" s="185"/>
      <c r="AU81" s="178"/>
      <c r="AV81" s="181"/>
      <c r="AW81" s="187"/>
      <c r="AY81" s="188">
        <f>'Onboarding Calcs'!Q78</f>
        <v>0</v>
      </c>
    </row>
    <row r="82" spans="1:51" ht="15" customHeight="1" x14ac:dyDescent="0.3">
      <c r="A82" s="190"/>
      <c r="B82" s="178"/>
      <c r="C82" s="178"/>
      <c r="D82" s="178"/>
      <c r="E82" s="78"/>
      <c r="F82" s="78"/>
      <c r="G82" s="179"/>
      <c r="H82" s="180"/>
      <c r="I82" s="181"/>
      <c r="J82" s="175" t="str">
        <f>IF(_xlfn.XLOOKUP(B82,DropdownList!$C$2:$C$8,DropdownList!$B$2:$B$8,0)=0,"",_xlfn.XLOOKUP(B82,DropdownList!$C$2:$C$8,DropdownList!$B$2:$B$8,0))</f>
        <v/>
      </c>
      <c r="K82" s="182"/>
      <c r="L82" s="183"/>
      <c r="M82" s="44">
        <f>IF('Onboarding Calcs'!N79=0,0,'Onboarding Calcs'!N79)</f>
        <v>0</v>
      </c>
      <c r="N82" s="26"/>
      <c r="O82" s="178"/>
      <c r="P82" s="178"/>
      <c r="Q82" s="184"/>
      <c r="R82" s="184"/>
      <c r="S82" s="178"/>
      <c r="T82" s="178"/>
      <c r="U82" s="178"/>
      <c r="V82" s="178"/>
      <c r="W82" s="178"/>
      <c r="X82" s="178"/>
      <c r="Y82" s="185"/>
      <c r="Z82" s="178"/>
      <c r="AA82" s="178"/>
      <c r="AB82" s="178"/>
      <c r="AC82" s="178"/>
      <c r="AD82" s="178"/>
      <c r="AE82" s="185"/>
      <c r="AF82" s="185"/>
      <c r="AG82" s="185"/>
      <c r="AH82" s="186"/>
      <c r="AI82" s="181"/>
      <c r="AJ82" s="24"/>
      <c r="AK82" s="26"/>
      <c r="AL82" s="42" t="str">
        <f>IF(OR(Table13[[#This Row],[Annual Increase Option]]="No increase",Table13[[#This Row],[Annual Increase Option]]=""),"",_xlfn.XLOOKUP(MONTH(Table13[[#This Row],[Commencement Date]]),DropdownList!$A$19:$A$30,DropdownList!$B$19:$B$30,0))</f>
        <v/>
      </c>
      <c r="AM82" s="178"/>
      <c r="AN82" s="178"/>
      <c r="AO82" s="178"/>
      <c r="AP82" s="178"/>
      <c r="AQ82" s="26"/>
      <c r="AR82" s="178"/>
      <c r="AS82" s="178"/>
      <c r="AT82" s="185"/>
      <c r="AU82" s="178"/>
      <c r="AV82" s="181"/>
      <c r="AW82" s="187"/>
      <c r="AY82" s="188">
        <f>'Onboarding Calcs'!Q79</f>
        <v>0</v>
      </c>
    </row>
    <row r="83" spans="1:51" ht="15" customHeight="1" x14ac:dyDescent="0.3">
      <c r="A83" s="190"/>
      <c r="B83" s="178"/>
      <c r="C83" s="178"/>
      <c r="D83" s="178"/>
      <c r="E83" s="78"/>
      <c r="F83" s="78"/>
      <c r="G83" s="179"/>
      <c r="H83" s="180"/>
      <c r="I83" s="181"/>
      <c r="J83" s="175" t="str">
        <f>IF(_xlfn.XLOOKUP(B83,DropdownList!$C$2:$C$8,DropdownList!$B$2:$B$8,0)=0,"",_xlfn.XLOOKUP(B83,DropdownList!$C$2:$C$8,DropdownList!$B$2:$B$8,0))</f>
        <v/>
      </c>
      <c r="K83" s="182"/>
      <c r="L83" s="183"/>
      <c r="M83" s="44">
        <f>IF('Onboarding Calcs'!N80=0,0,'Onboarding Calcs'!N80)</f>
        <v>0</v>
      </c>
      <c r="N83" s="26"/>
      <c r="O83" s="178"/>
      <c r="P83" s="178"/>
      <c r="Q83" s="184"/>
      <c r="R83" s="184"/>
      <c r="S83" s="178"/>
      <c r="T83" s="178"/>
      <c r="U83" s="178"/>
      <c r="V83" s="178"/>
      <c r="W83" s="178"/>
      <c r="X83" s="178"/>
      <c r="Y83" s="185"/>
      <c r="Z83" s="178"/>
      <c r="AA83" s="178"/>
      <c r="AB83" s="178"/>
      <c r="AC83" s="178"/>
      <c r="AD83" s="178"/>
      <c r="AE83" s="185"/>
      <c r="AF83" s="185"/>
      <c r="AG83" s="185"/>
      <c r="AH83" s="186"/>
      <c r="AI83" s="181"/>
      <c r="AJ83" s="24"/>
      <c r="AK83" s="26"/>
      <c r="AL83" s="42" t="str">
        <f>IF(OR(Table13[[#This Row],[Annual Increase Option]]="No increase",Table13[[#This Row],[Annual Increase Option]]=""),"",_xlfn.XLOOKUP(MONTH(Table13[[#This Row],[Commencement Date]]),DropdownList!$A$19:$A$30,DropdownList!$B$19:$B$30,0))</f>
        <v/>
      </c>
      <c r="AM83" s="178"/>
      <c r="AN83" s="178"/>
      <c r="AO83" s="178"/>
      <c r="AP83" s="178"/>
      <c r="AQ83" s="26"/>
      <c r="AR83" s="178"/>
      <c r="AS83" s="178"/>
      <c r="AT83" s="185"/>
      <c r="AU83" s="178"/>
      <c r="AV83" s="181"/>
      <c r="AW83" s="187"/>
      <c r="AY83" s="188">
        <f>'Onboarding Calcs'!Q80</f>
        <v>0</v>
      </c>
    </row>
    <row r="84" spans="1:51" ht="15" customHeight="1" x14ac:dyDescent="0.3">
      <c r="A84" s="190"/>
      <c r="B84" s="178"/>
      <c r="C84" s="178"/>
      <c r="D84" s="178"/>
      <c r="E84" s="78"/>
      <c r="F84" s="78"/>
      <c r="G84" s="179"/>
      <c r="H84" s="180"/>
      <c r="I84" s="181"/>
      <c r="J84" s="175" t="str">
        <f>IF(_xlfn.XLOOKUP(B84,DropdownList!$C$2:$C$8,DropdownList!$B$2:$B$8,0)=0,"",_xlfn.XLOOKUP(B84,DropdownList!$C$2:$C$8,DropdownList!$B$2:$B$8,0))</f>
        <v/>
      </c>
      <c r="K84" s="182"/>
      <c r="L84" s="183"/>
      <c r="M84" s="44">
        <f>IF('Onboarding Calcs'!N81=0,0,'Onboarding Calcs'!N81)</f>
        <v>0</v>
      </c>
      <c r="N84" s="26"/>
      <c r="O84" s="178"/>
      <c r="P84" s="178"/>
      <c r="Q84" s="184"/>
      <c r="R84" s="184"/>
      <c r="S84" s="178"/>
      <c r="T84" s="178"/>
      <c r="U84" s="178"/>
      <c r="V84" s="178"/>
      <c r="W84" s="178"/>
      <c r="X84" s="178"/>
      <c r="Y84" s="185"/>
      <c r="Z84" s="178"/>
      <c r="AA84" s="178"/>
      <c r="AB84" s="178"/>
      <c r="AC84" s="178"/>
      <c r="AD84" s="178"/>
      <c r="AE84" s="185"/>
      <c r="AF84" s="185"/>
      <c r="AG84" s="185"/>
      <c r="AH84" s="186"/>
      <c r="AI84" s="181"/>
      <c r="AJ84" s="24"/>
      <c r="AK84" s="26"/>
      <c r="AL84" s="42" t="str">
        <f>IF(OR(Table13[[#This Row],[Annual Increase Option]]="No increase",Table13[[#This Row],[Annual Increase Option]]=""),"",_xlfn.XLOOKUP(MONTH(Table13[[#This Row],[Commencement Date]]),DropdownList!$A$19:$A$30,DropdownList!$B$19:$B$30,0))</f>
        <v/>
      </c>
      <c r="AM84" s="178"/>
      <c r="AN84" s="178"/>
      <c r="AO84" s="178"/>
      <c r="AP84" s="178"/>
      <c r="AQ84" s="26"/>
      <c r="AR84" s="178"/>
      <c r="AS84" s="178"/>
      <c r="AT84" s="185"/>
      <c r="AU84" s="178"/>
      <c r="AV84" s="181"/>
      <c r="AW84" s="187"/>
      <c r="AY84" s="188">
        <f>'Onboarding Calcs'!Q81</f>
        <v>0</v>
      </c>
    </row>
    <row r="85" spans="1:51" ht="15" customHeight="1" x14ac:dyDescent="0.3">
      <c r="A85" s="190"/>
      <c r="B85" s="178"/>
      <c r="C85" s="178"/>
      <c r="D85" s="178"/>
      <c r="E85" s="78"/>
      <c r="F85" s="78"/>
      <c r="G85" s="179"/>
      <c r="H85" s="180"/>
      <c r="I85" s="181"/>
      <c r="J85" s="175" t="str">
        <f>IF(_xlfn.XLOOKUP(B85,DropdownList!$C$2:$C$8,DropdownList!$B$2:$B$8,0)=0,"",_xlfn.XLOOKUP(B85,DropdownList!$C$2:$C$8,DropdownList!$B$2:$B$8,0))</f>
        <v/>
      </c>
      <c r="K85" s="182"/>
      <c r="L85" s="183"/>
      <c r="M85" s="44">
        <f>IF('Onboarding Calcs'!N82=0,0,'Onboarding Calcs'!N82)</f>
        <v>0</v>
      </c>
      <c r="N85" s="26"/>
      <c r="O85" s="178"/>
      <c r="P85" s="178"/>
      <c r="Q85" s="184"/>
      <c r="R85" s="184"/>
      <c r="S85" s="178"/>
      <c r="T85" s="178"/>
      <c r="U85" s="178"/>
      <c r="V85" s="178"/>
      <c r="W85" s="178"/>
      <c r="X85" s="178"/>
      <c r="Y85" s="185"/>
      <c r="Z85" s="178"/>
      <c r="AA85" s="178"/>
      <c r="AB85" s="178"/>
      <c r="AC85" s="178"/>
      <c r="AD85" s="178"/>
      <c r="AE85" s="185"/>
      <c r="AF85" s="185"/>
      <c r="AG85" s="185"/>
      <c r="AH85" s="186"/>
      <c r="AI85" s="181"/>
      <c r="AJ85" s="24"/>
      <c r="AK85" s="26"/>
      <c r="AL85" s="42" t="str">
        <f>IF(OR(Table13[[#This Row],[Annual Increase Option]]="No increase",Table13[[#This Row],[Annual Increase Option]]=""),"",_xlfn.XLOOKUP(MONTH(Table13[[#This Row],[Commencement Date]]),DropdownList!$A$19:$A$30,DropdownList!$B$19:$B$30,0))</f>
        <v/>
      </c>
      <c r="AM85" s="178"/>
      <c r="AN85" s="178"/>
      <c r="AO85" s="178"/>
      <c r="AP85" s="178"/>
      <c r="AQ85" s="26"/>
      <c r="AR85" s="178"/>
      <c r="AS85" s="178"/>
      <c r="AT85" s="185"/>
      <c r="AU85" s="178"/>
      <c r="AV85" s="181"/>
      <c r="AW85" s="187"/>
      <c r="AY85" s="188">
        <f>'Onboarding Calcs'!Q82</f>
        <v>0</v>
      </c>
    </row>
    <row r="86" spans="1:51" ht="15" customHeight="1" x14ac:dyDescent="0.3">
      <c r="A86" s="190"/>
      <c r="B86" s="178"/>
      <c r="C86" s="178"/>
      <c r="D86" s="178"/>
      <c r="E86" s="78"/>
      <c r="F86" s="78"/>
      <c r="G86" s="179"/>
      <c r="H86" s="180"/>
      <c r="I86" s="181"/>
      <c r="J86" s="175" t="str">
        <f>IF(_xlfn.XLOOKUP(B86,DropdownList!$C$2:$C$8,DropdownList!$B$2:$B$8,0)=0,"",_xlfn.XLOOKUP(B86,DropdownList!$C$2:$C$8,DropdownList!$B$2:$B$8,0))</f>
        <v/>
      </c>
      <c r="K86" s="182"/>
      <c r="L86" s="183"/>
      <c r="M86" s="44">
        <f>IF('Onboarding Calcs'!N83=0,0,'Onboarding Calcs'!N83)</f>
        <v>0</v>
      </c>
      <c r="N86" s="26"/>
      <c r="O86" s="178"/>
      <c r="P86" s="178"/>
      <c r="Q86" s="184"/>
      <c r="R86" s="184"/>
      <c r="S86" s="178"/>
      <c r="T86" s="178"/>
      <c r="U86" s="178"/>
      <c r="V86" s="178"/>
      <c r="W86" s="178"/>
      <c r="X86" s="178"/>
      <c r="Y86" s="185"/>
      <c r="Z86" s="178"/>
      <c r="AA86" s="178"/>
      <c r="AB86" s="178"/>
      <c r="AC86" s="178"/>
      <c r="AD86" s="178"/>
      <c r="AE86" s="185"/>
      <c r="AF86" s="185"/>
      <c r="AG86" s="185"/>
      <c r="AH86" s="186"/>
      <c r="AI86" s="181"/>
      <c r="AJ86" s="24"/>
      <c r="AK86" s="26"/>
      <c r="AL86" s="42" t="str">
        <f>IF(OR(Table13[[#This Row],[Annual Increase Option]]="No increase",Table13[[#This Row],[Annual Increase Option]]=""),"",_xlfn.XLOOKUP(MONTH(Table13[[#This Row],[Commencement Date]]),DropdownList!$A$19:$A$30,DropdownList!$B$19:$B$30,0))</f>
        <v/>
      </c>
      <c r="AM86" s="178"/>
      <c r="AN86" s="178"/>
      <c r="AO86" s="178"/>
      <c r="AP86" s="178"/>
      <c r="AQ86" s="26"/>
      <c r="AR86" s="178"/>
      <c r="AS86" s="178"/>
      <c r="AT86" s="185"/>
      <c r="AU86" s="178"/>
      <c r="AV86" s="181"/>
      <c r="AW86" s="187"/>
      <c r="AY86" s="188">
        <f>'Onboarding Calcs'!Q83</f>
        <v>0</v>
      </c>
    </row>
    <row r="87" spans="1:51" ht="15" customHeight="1" x14ac:dyDescent="0.3">
      <c r="A87" s="190"/>
      <c r="B87" s="178"/>
      <c r="C87" s="178"/>
      <c r="D87" s="178"/>
      <c r="E87" s="78"/>
      <c r="F87" s="78"/>
      <c r="G87" s="179"/>
      <c r="H87" s="180"/>
      <c r="I87" s="181"/>
      <c r="J87" s="175" t="str">
        <f>IF(_xlfn.XLOOKUP(B87,DropdownList!$C$2:$C$8,DropdownList!$B$2:$B$8,0)=0,"",_xlfn.XLOOKUP(B87,DropdownList!$C$2:$C$8,DropdownList!$B$2:$B$8,0))</f>
        <v/>
      </c>
      <c r="K87" s="182"/>
      <c r="L87" s="183"/>
      <c r="M87" s="44">
        <f>IF('Onboarding Calcs'!N84=0,0,'Onboarding Calcs'!N84)</f>
        <v>0</v>
      </c>
      <c r="N87" s="26"/>
      <c r="O87" s="178"/>
      <c r="P87" s="178"/>
      <c r="Q87" s="184"/>
      <c r="R87" s="184"/>
      <c r="S87" s="178"/>
      <c r="T87" s="178"/>
      <c r="U87" s="178"/>
      <c r="V87" s="178"/>
      <c r="W87" s="178"/>
      <c r="X87" s="178"/>
      <c r="Y87" s="185"/>
      <c r="Z87" s="178"/>
      <c r="AA87" s="178"/>
      <c r="AB87" s="178"/>
      <c r="AC87" s="178"/>
      <c r="AD87" s="178"/>
      <c r="AE87" s="185"/>
      <c r="AF87" s="185"/>
      <c r="AG87" s="185"/>
      <c r="AH87" s="186"/>
      <c r="AI87" s="181"/>
      <c r="AJ87" s="24"/>
      <c r="AK87" s="26"/>
      <c r="AL87" s="42" t="str">
        <f>IF(OR(Table13[[#This Row],[Annual Increase Option]]="No increase",Table13[[#This Row],[Annual Increase Option]]=""),"",_xlfn.XLOOKUP(MONTH(Table13[[#This Row],[Commencement Date]]),DropdownList!$A$19:$A$30,DropdownList!$B$19:$B$30,0))</f>
        <v/>
      </c>
      <c r="AM87" s="178"/>
      <c r="AN87" s="178"/>
      <c r="AO87" s="178"/>
      <c r="AP87" s="178"/>
      <c r="AQ87" s="26"/>
      <c r="AR87" s="178"/>
      <c r="AS87" s="178"/>
      <c r="AT87" s="185"/>
      <c r="AU87" s="178"/>
      <c r="AV87" s="181"/>
      <c r="AW87" s="187"/>
      <c r="AY87" s="188">
        <f>'Onboarding Calcs'!Q84</f>
        <v>0</v>
      </c>
    </row>
    <row r="88" spans="1:51" ht="15" customHeight="1" x14ac:dyDescent="0.3">
      <c r="A88" s="190"/>
      <c r="B88" s="178"/>
      <c r="C88" s="178"/>
      <c r="D88" s="178"/>
      <c r="E88" s="78"/>
      <c r="F88" s="78"/>
      <c r="G88" s="179"/>
      <c r="H88" s="180"/>
      <c r="I88" s="181"/>
      <c r="J88" s="175" t="str">
        <f>IF(_xlfn.XLOOKUP(B88,DropdownList!$C$2:$C$8,DropdownList!$B$2:$B$8,0)=0,"",_xlfn.XLOOKUP(B88,DropdownList!$C$2:$C$8,DropdownList!$B$2:$B$8,0))</f>
        <v/>
      </c>
      <c r="K88" s="182"/>
      <c r="L88" s="183"/>
      <c r="M88" s="44">
        <f>IF('Onboarding Calcs'!N85=0,0,'Onboarding Calcs'!N85)</f>
        <v>0</v>
      </c>
      <c r="N88" s="26"/>
      <c r="O88" s="178"/>
      <c r="P88" s="178"/>
      <c r="Q88" s="184"/>
      <c r="R88" s="184"/>
      <c r="S88" s="178"/>
      <c r="T88" s="178"/>
      <c r="U88" s="178"/>
      <c r="V88" s="178"/>
      <c r="W88" s="178"/>
      <c r="X88" s="178"/>
      <c r="Y88" s="185"/>
      <c r="Z88" s="178"/>
      <c r="AA88" s="178"/>
      <c r="AB88" s="178"/>
      <c r="AC88" s="178"/>
      <c r="AD88" s="178"/>
      <c r="AE88" s="185"/>
      <c r="AF88" s="185"/>
      <c r="AG88" s="185"/>
      <c r="AH88" s="186"/>
      <c r="AI88" s="181"/>
      <c r="AJ88" s="24"/>
      <c r="AK88" s="26"/>
      <c r="AL88" s="42" t="str">
        <f>IF(OR(Table13[[#This Row],[Annual Increase Option]]="No increase",Table13[[#This Row],[Annual Increase Option]]=""),"",_xlfn.XLOOKUP(MONTH(Table13[[#This Row],[Commencement Date]]),DropdownList!$A$19:$A$30,DropdownList!$B$19:$B$30,0))</f>
        <v/>
      </c>
      <c r="AM88" s="178"/>
      <c r="AN88" s="178"/>
      <c r="AO88" s="178"/>
      <c r="AP88" s="178"/>
      <c r="AQ88" s="26"/>
      <c r="AR88" s="178"/>
      <c r="AS88" s="178"/>
      <c r="AT88" s="185"/>
      <c r="AU88" s="178"/>
      <c r="AV88" s="181"/>
      <c r="AW88" s="187"/>
      <c r="AY88" s="188">
        <f>'Onboarding Calcs'!Q85</f>
        <v>0</v>
      </c>
    </row>
    <row r="89" spans="1:51" ht="15" customHeight="1" x14ac:dyDescent="0.3">
      <c r="A89" s="190"/>
      <c r="B89" s="178"/>
      <c r="C89" s="178"/>
      <c r="D89" s="178"/>
      <c r="E89" s="78"/>
      <c r="F89" s="78"/>
      <c r="G89" s="179"/>
      <c r="H89" s="180"/>
      <c r="I89" s="181"/>
      <c r="J89" s="175" t="str">
        <f>IF(_xlfn.XLOOKUP(B89,DropdownList!$C$2:$C$8,DropdownList!$B$2:$B$8,0)=0,"",_xlfn.XLOOKUP(B89,DropdownList!$C$2:$C$8,DropdownList!$B$2:$B$8,0))</f>
        <v/>
      </c>
      <c r="K89" s="182"/>
      <c r="L89" s="183"/>
      <c r="M89" s="44">
        <f>IF('Onboarding Calcs'!N86=0,0,'Onboarding Calcs'!N86)</f>
        <v>0</v>
      </c>
      <c r="N89" s="26"/>
      <c r="O89" s="178"/>
      <c r="P89" s="178"/>
      <c r="Q89" s="184"/>
      <c r="R89" s="184"/>
      <c r="S89" s="178"/>
      <c r="T89" s="178"/>
      <c r="U89" s="178"/>
      <c r="V89" s="178"/>
      <c r="W89" s="178"/>
      <c r="X89" s="178"/>
      <c r="Y89" s="185"/>
      <c r="Z89" s="178"/>
      <c r="AA89" s="178"/>
      <c r="AB89" s="178"/>
      <c r="AC89" s="178"/>
      <c r="AD89" s="178"/>
      <c r="AE89" s="185"/>
      <c r="AF89" s="185"/>
      <c r="AG89" s="185"/>
      <c r="AH89" s="186"/>
      <c r="AI89" s="181"/>
      <c r="AJ89" s="24"/>
      <c r="AK89" s="26"/>
      <c r="AL89" s="42" t="str">
        <f>IF(OR(Table13[[#This Row],[Annual Increase Option]]="No increase",Table13[[#This Row],[Annual Increase Option]]=""),"",_xlfn.XLOOKUP(MONTH(Table13[[#This Row],[Commencement Date]]),DropdownList!$A$19:$A$30,DropdownList!$B$19:$B$30,0))</f>
        <v/>
      </c>
      <c r="AM89" s="178"/>
      <c r="AN89" s="178"/>
      <c r="AO89" s="178"/>
      <c r="AP89" s="178"/>
      <c r="AQ89" s="26"/>
      <c r="AR89" s="178"/>
      <c r="AS89" s="178"/>
      <c r="AT89" s="185"/>
      <c r="AU89" s="178"/>
      <c r="AV89" s="181"/>
      <c r="AW89" s="187"/>
      <c r="AY89" s="188">
        <f>'Onboarding Calcs'!Q86</f>
        <v>0</v>
      </c>
    </row>
    <row r="90" spans="1:51" ht="15" customHeight="1" x14ac:dyDescent="0.3">
      <c r="A90" s="190"/>
      <c r="B90" s="178"/>
      <c r="C90" s="178"/>
      <c r="D90" s="178"/>
      <c r="E90" s="78"/>
      <c r="F90" s="78"/>
      <c r="G90" s="179"/>
      <c r="H90" s="180"/>
      <c r="I90" s="181"/>
      <c r="J90" s="175" t="str">
        <f>IF(_xlfn.XLOOKUP(B90,DropdownList!$C$2:$C$8,DropdownList!$B$2:$B$8,0)=0,"",_xlfn.XLOOKUP(B90,DropdownList!$C$2:$C$8,DropdownList!$B$2:$B$8,0))</f>
        <v/>
      </c>
      <c r="K90" s="182"/>
      <c r="L90" s="183"/>
      <c r="M90" s="44">
        <f>IF('Onboarding Calcs'!N87=0,0,'Onboarding Calcs'!N87)</f>
        <v>0</v>
      </c>
      <c r="N90" s="26"/>
      <c r="O90" s="178"/>
      <c r="P90" s="178"/>
      <c r="Q90" s="184"/>
      <c r="R90" s="184"/>
      <c r="S90" s="178"/>
      <c r="T90" s="178"/>
      <c r="U90" s="178"/>
      <c r="V90" s="178"/>
      <c r="W90" s="178"/>
      <c r="X90" s="178"/>
      <c r="Y90" s="185"/>
      <c r="Z90" s="178"/>
      <c r="AA90" s="178"/>
      <c r="AB90" s="178"/>
      <c r="AC90" s="178"/>
      <c r="AD90" s="178"/>
      <c r="AE90" s="185"/>
      <c r="AF90" s="185"/>
      <c r="AG90" s="185"/>
      <c r="AH90" s="186"/>
      <c r="AI90" s="181"/>
      <c r="AJ90" s="24"/>
      <c r="AK90" s="26"/>
      <c r="AL90" s="42" t="str">
        <f>IF(OR(Table13[[#This Row],[Annual Increase Option]]="No increase",Table13[[#This Row],[Annual Increase Option]]=""),"",_xlfn.XLOOKUP(MONTH(Table13[[#This Row],[Commencement Date]]),DropdownList!$A$19:$A$30,DropdownList!$B$19:$B$30,0))</f>
        <v/>
      </c>
      <c r="AM90" s="178"/>
      <c r="AN90" s="178"/>
      <c r="AO90" s="178"/>
      <c r="AP90" s="178"/>
      <c r="AQ90" s="26"/>
      <c r="AR90" s="178"/>
      <c r="AS90" s="178"/>
      <c r="AT90" s="185"/>
      <c r="AU90" s="178"/>
      <c r="AV90" s="181"/>
      <c r="AW90" s="187"/>
      <c r="AY90" s="188">
        <f>'Onboarding Calcs'!Q87</f>
        <v>0</v>
      </c>
    </row>
    <row r="91" spans="1:51" ht="15" customHeight="1" x14ac:dyDescent="0.3">
      <c r="A91" s="190"/>
      <c r="B91" s="178"/>
      <c r="C91" s="178"/>
      <c r="D91" s="178"/>
      <c r="E91" s="78"/>
      <c r="F91" s="78"/>
      <c r="G91" s="179"/>
      <c r="H91" s="180"/>
      <c r="I91" s="181"/>
      <c r="J91" s="175" t="str">
        <f>IF(_xlfn.XLOOKUP(B91,DropdownList!$C$2:$C$8,DropdownList!$B$2:$B$8,0)=0,"",_xlfn.XLOOKUP(B91,DropdownList!$C$2:$C$8,DropdownList!$B$2:$B$8,0))</f>
        <v/>
      </c>
      <c r="K91" s="182"/>
      <c r="L91" s="183"/>
      <c r="M91" s="44">
        <f>IF('Onboarding Calcs'!N88=0,0,'Onboarding Calcs'!N88)</f>
        <v>0</v>
      </c>
      <c r="N91" s="26"/>
      <c r="O91" s="178"/>
      <c r="P91" s="178"/>
      <c r="Q91" s="184"/>
      <c r="R91" s="184"/>
      <c r="S91" s="178"/>
      <c r="T91" s="178"/>
      <c r="U91" s="178"/>
      <c r="V91" s="178"/>
      <c r="W91" s="178"/>
      <c r="X91" s="178"/>
      <c r="Y91" s="185"/>
      <c r="Z91" s="178"/>
      <c r="AA91" s="178"/>
      <c r="AB91" s="178"/>
      <c r="AC91" s="178"/>
      <c r="AD91" s="178"/>
      <c r="AE91" s="185"/>
      <c r="AF91" s="185"/>
      <c r="AG91" s="185"/>
      <c r="AH91" s="186"/>
      <c r="AI91" s="181"/>
      <c r="AJ91" s="24"/>
      <c r="AK91" s="26"/>
      <c r="AL91" s="42" t="str">
        <f>IF(OR(Table13[[#This Row],[Annual Increase Option]]="No increase",Table13[[#This Row],[Annual Increase Option]]=""),"",_xlfn.XLOOKUP(MONTH(Table13[[#This Row],[Commencement Date]]),DropdownList!$A$19:$A$30,DropdownList!$B$19:$B$30,0))</f>
        <v/>
      </c>
      <c r="AM91" s="178"/>
      <c r="AN91" s="178"/>
      <c r="AO91" s="178"/>
      <c r="AP91" s="178"/>
      <c r="AQ91" s="26"/>
      <c r="AR91" s="178"/>
      <c r="AS91" s="178"/>
      <c r="AT91" s="185"/>
      <c r="AU91" s="178"/>
      <c r="AV91" s="181"/>
      <c r="AW91" s="187"/>
      <c r="AY91" s="188">
        <f>'Onboarding Calcs'!Q88</f>
        <v>0</v>
      </c>
    </row>
    <row r="92" spans="1:51" ht="15" customHeight="1" x14ac:dyDescent="0.3">
      <c r="A92" s="190"/>
      <c r="B92" s="178"/>
      <c r="C92" s="178"/>
      <c r="D92" s="178"/>
      <c r="E92" s="78"/>
      <c r="F92" s="78"/>
      <c r="G92" s="179"/>
      <c r="H92" s="180"/>
      <c r="I92" s="181"/>
      <c r="J92" s="175" t="str">
        <f>IF(_xlfn.XLOOKUP(B92,DropdownList!$C$2:$C$8,DropdownList!$B$2:$B$8,0)=0,"",_xlfn.XLOOKUP(B92,DropdownList!$C$2:$C$8,DropdownList!$B$2:$B$8,0))</f>
        <v/>
      </c>
      <c r="K92" s="182"/>
      <c r="L92" s="183"/>
      <c r="M92" s="44">
        <f>IF('Onboarding Calcs'!N89=0,0,'Onboarding Calcs'!N89)</f>
        <v>0</v>
      </c>
      <c r="N92" s="26"/>
      <c r="O92" s="178"/>
      <c r="P92" s="178"/>
      <c r="Q92" s="184"/>
      <c r="R92" s="184"/>
      <c r="S92" s="178"/>
      <c r="T92" s="178"/>
      <c r="U92" s="178"/>
      <c r="V92" s="178"/>
      <c r="W92" s="178"/>
      <c r="X92" s="178"/>
      <c r="Y92" s="185"/>
      <c r="Z92" s="178"/>
      <c r="AA92" s="178"/>
      <c r="AB92" s="178"/>
      <c r="AC92" s="178"/>
      <c r="AD92" s="178"/>
      <c r="AE92" s="185"/>
      <c r="AF92" s="185"/>
      <c r="AG92" s="185"/>
      <c r="AH92" s="186"/>
      <c r="AI92" s="181"/>
      <c r="AJ92" s="24"/>
      <c r="AK92" s="26"/>
      <c r="AL92" s="42" t="str">
        <f>IF(OR(Table13[[#This Row],[Annual Increase Option]]="No increase",Table13[[#This Row],[Annual Increase Option]]=""),"",_xlfn.XLOOKUP(MONTH(Table13[[#This Row],[Commencement Date]]),DropdownList!$A$19:$A$30,DropdownList!$B$19:$B$30,0))</f>
        <v/>
      </c>
      <c r="AM92" s="178"/>
      <c r="AN92" s="178"/>
      <c r="AO92" s="178"/>
      <c r="AP92" s="178"/>
      <c r="AQ92" s="26"/>
      <c r="AR92" s="178"/>
      <c r="AS92" s="178"/>
      <c r="AT92" s="185"/>
      <c r="AU92" s="178"/>
      <c r="AV92" s="181"/>
      <c r="AW92" s="187"/>
      <c r="AY92" s="188">
        <f>'Onboarding Calcs'!Q89</f>
        <v>0</v>
      </c>
    </row>
    <row r="93" spans="1:51" ht="15" customHeight="1" x14ac:dyDescent="0.3">
      <c r="A93" s="190"/>
      <c r="B93" s="178"/>
      <c r="C93" s="178"/>
      <c r="D93" s="178"/>
      <c r="E93" s="78"/>
      <c r="F93" s="78"/>
      <c r="G93" s="179"/>
      <c r="H93" s="180"/>
      <c r="I93" s="181"/>
      <c r="J93" s="175" t="str">
        <f>IF(_xlfn.XLOOKUP(B93,DropdownList!$C$2:$C$8,DropdownList!$B$2:$B$8,0)=0,"",_xlfn.XLOOKUP(B93,DropdownList!$C$2:$C$8,DropdownList!$B$2:$B$8,0))</f>
        <v/>
      </c>
      <c r="K93" s="182"/>
      <c r="L93" s="183"/>
      <c r="M93" s="44">
        <f>IF('Onboarding Calcs'!N90=0,0,'Onboarding Calcs'!N90)</f>
        <v>0</v>
      </c>
      <c r="N93" s="26"/>
      <c r="O93" s="178"/>
      <c r="P93" s="178"/>
      <c r="Q93" s="184"/>
      <c r="R93" s="184"/>
      <c r="S93" s="178"/>
      <c r="T93" s="178"/>
      <c r="U93" s="178"/>
      <c r="V93" s="178"/>
      <c r="W93" s="178"/>
      <c r="X93" s="178"/>
      <c r="Y93" s="185"/>
      <c r="Z93" s="178"/>
      <c r="AA93" s="178"/>
      <c r="AB93" s="178"/>
      <c r="AC93" s="178"/>
      <c r="AD93" s="178"/>
      <c r="AE93" s="185"/>
      <c r="AF93" s="185"/>
      <c r="AG93" s="185"/>
      <c r="AH93" s="186"/>
      <c r="AI93" s="181"/>
      <c r="AJ93" s="24"/>
      <c r="AK93" s="26"/>
      <c r="AL93" s="42" t="str">
        <f>IF(OR(Table13[[#This Row],[Annual Increase Option]]="No increase",Table13[[#This Row],[Annual Increase Option]]=""),"",_xlfn.XLOOKUP(MONTH(Table13[[#This Row],[Commencement Date]]),DropdownList!$A$19:$A$30,DropdownList!$B$19:$B$30,0))</f>
        <v/>
      </c>
      <c r="AM93" s="178"/>
      <c r="AN93" s="178"/>
      <c r="AO93" s="178"/>
      <c r="AP93" s="178"/>
      <c r="AQ93" s="26"/>
      <c r="AR93" s="178"/>
      <c r="AS93" s="178"/>
      <c r="AT93" s="185"/>
      <c r="AU93" s="178"/>
      <c r="AV93" s="181"/>
      <c r="AW93" s="187"/>
      <c r="AY93" s="188">
        <f>'Onboarding Calcs'!Q90</f>
        <v>0</v>
      </c>
    </row>
    <row r="94" spans="1:51" ht="15" customHeight="1" x14ac:dyDescent="0.3">
      <c r="A94" s="190"/>
      <c r="B94" s="178"/>
      <c r="C94" s="178"/>
      <c r="D94" s="178"/>
      <c r="E94" s="78"/>
      <c r="F94" s="78"/>
      <c r="G94" s="179"/>
      <c r="H94" s="180"/>
      <c r="I94" s="181"/>
      <c r="J94" s="175" t="str">
        <f>IF(_xlfn.XLOOKUP(B94,DropdownList!$C$2:$C$8,DropdownList!$B$2:$B$8,0)=0,"",_xlfn.XLOOKUP(B94,DropdownList!$C$2:$C$8,DropdownList!$B$2:$B$8,0))</f>
        <v/>
      </c>
      <c r="K94" s="182"/>
      <c r="L94" s="183"/>
      <c r="M94" s="44">
        <f>IF('Onboarding Calcs'!N91=0,0,'Onboarding Calcs'!N91)</f>
        <v>0</v>
      </c>
      <c r="N94" s="26"/>
      <c r="O94" s="178"/>
      <c r="P94" s="178"/>
      <c r="Q94" s="184"/>
      <c r="R94" s="184"/>
      <c r="S94" s="178"/>
      <c r="T94" s="178"/>
      <c r="U94" s="178"/>
      <c r="V94" s="178"/>
      <c r="W94" s="178"/>
      <c r="X94" s="178"/>
      <c r="Y94" s="185"/>
      <c r="Z94" s="178"/>
      <c r="AA94" s="178"/>
      <c r="AB94" s="178"/>
      <c r="AC94" s="178"/>
      <c r="AD94" s="178"/>
      <c r="AE94" s="185"/>
      <c r="AF94" s="185"/>
      <c r="AG94" s="185"/>
      <c r="AH94" s="186"/>
      <c r="AI94" s="181"/>
      <c r="AJ94" s="24"/>
      <c r="AK94" s="26"/>
      <c r="AL94" s="42" t="str">
        <f>IF(OR(Table13[[#This Row],[Annual Increase Option]]="No increase",Table13[[#This Row],[Annual Increase Option]]=""),"",_xlfn.XLOOKUP(MONTH(Table13[[#This Row],[Commencement Date]]),DropdownList!$A$19:$A$30,DropdownList!$B$19:$B$30,0))</f>
        <v/>
      </c>
      <c r="AM94" s="178"/>
      <c r="AN94" s="178"/>
      <c r="AO94" s="178"/>
      <c r="AP94" s="178"/>
      <c r="AQ94" s="26"/>
      <c r="AR94" s="178"/>
      <c r="AS94" s="178"/>
      <c r="AT94" s="185"/>
      <c r="AU94" s="178"/>
      <c r="AV94" s="181"/>
      <c r="AW94" s="187"/>
      <c r="AY94" s="188">
        <f>'Onboarding Calcs'!Q91</f>
        <v>0</v>
      </c>
    </row>
    <row r="95" spans="1:51" ht="15" customHeight="1" x14ac:dyDescent="0.3">
      <c r="A95" s="190"/>
      <c r="B95" s="178"/>
      <c r="C95" s="178"/>
      <c r="D95" s="178"/>
      <c r="E95" s="78"/>
      <c r="F95" s="78"/>
      <c r="G95" s="179"/>
      <c r="H95" s="180"/>
      <c r="I95" s="181"/>
      <c r="J95" s="175" t="str">
        <f>IF(_xlfn.XLOOKUP(B95,DropdownList!$C$2:$C$8,DropdownList!$B$2:$B$8,0)=0,"",_xlfn.XLOOKUP(B95,DropdownList!$C$2:$C$8,DropdownList!$B$2:$B$8,0))</f>
        <v/>
      </c>
      <c r="K95" s="182"/>
      <c r="L95" s="183"/>
      <c r="M95" s="44">
        <f>IF('Onboarding Calcs'!N92=0,0,'Onboarding Calcs'!N92)</f>
        <v>0</v>
      </c>
      <c r="N95" s="26"/>
      <c r="O95" s="178"/>
      <c r="P95" s="178"/>
      <c r="Q95" s="184"/>
      <c r="R95" s="184"/>
      <c r="S95" s="178"/>
      <c r="T95" s="178"/>
      <c r="U95" s="178"/>
      <c r="V95" s="178"/>
      <c r="W95" s="178"/>
      <c r="X95" s="178"/>
      <c r="Y95" s="185"/>
      <c r="Z95" s="178"/>
      <c r="AA95" s="178"/>
      <c r="AB95" s="178"/>
      <c r="AC95" s="178"/>
      <c r="AD95" s="178"/>
      <c r="AE95" s="185"/>
      <c r="AF95" s="185"/>
      <c r="AG95" s="185"/>
      <c r="AH95" s="186"/>
      <c r="AI95" s="181"/>
      <c r="AJ95" s="24"/>
      <c r="AK95" s="26"/>
      <c r="AL95" s="42" t="str">
        <f>IF(OR(Table13[[#This Row],[Annual Increase Option]]="No increase",Table13[[#This Row],[Annual Increase Option]]=""),"",_xlfn.XLOOKUP(MONTH(Table13[[#This Row],[Commencement Date]]),DropdownList!$A$19:$A$30,DropdownList!$B$19:$B$30,0))</f>
        <v/>
      </c>
      <c r="AM95" s="178"/>
      <c r="AN95" s="178"/>
      <c r="AO95" s="178"/>
      <c r="AP95" s="178"/>
      <c r="AQ95" s="26"/>
      <c r="AR95" s="178"/>
      <c r="AS95" s="178"/>
      <c r="AT95" s="185"/>
      <c r="AU95" s="178"/>
      <c r="AV95" s="181"/>
      <c r="AW95" s="187"/>
      <c r="AY95" s="188">
        <f>'Onboarding Calcs'!Q92</f>
        <v>0</v>
      </c>
    </row>
    <row r="96" spans="1:51" ht="15" customHeight="1" x14ac:dyDescent="0.3">
      <c r="A96" s="190"/>
      <c r="B96" s="178"/>
      <c r="C96" s="178"/>
      <c r="D96" s="178"/>
      <c r="E96" s="78"/>
      <c r="F96" s="78"/>
      <c r="G96" s="179"/>
      <c r="H96" s="180"/>
      <c r="I96" s="181"/>
      <c r="J96" s="175" t="str">
        <f>IF(_xlfn.XLOOKUP(B96,DropdownList!$C$2:$C$8,DropdownList!$B$2:$B$8,0)=0,"",_xlfn.XLOOKUP(B96,DropdownList!$C$2:$C$8,DropdownList!$B$2:$B$8,0))</f>
        <v/>
      </c>
      <c r="K96" s="182"/>
      <c r="L96" s="183"/>
      <c r="M96" s="44">
        <f>IF('Onboarding Calcs'!N93=0,0,'Onboarding Calcs'!N93)</f>
        <v>0</v>
      </c>
      <c r="N96" s="26"/>
      <c r="O96" s="178"/>
      <c r="P96" s="178"/>
      <c r="Q96" s="184"/>
      <c r="R96" s="184"/>
      <c r="S96" s="178"/>
      <c r="T96" s="178"/>
      <c r="U96" s="178"/>
      <c r="V96" s="178"/>
      <c r="W96" s="178"/>
      <c r="X96" s="178"/>
      <c r="Y96" s="185"/>
      <c r="Z96" s="178"/>
      <c r="AA96" s="178"/>
      <c r="AB96" s="178"/>
      <c r="AC96" s="178"/>
      <c r="AD96" s="178"/>
      <c r="AE96" s="185"/>
      <c r="AF96" s="185"/>
      <c r="AG96" s="185"/>
      <c r="AH96" s="186"/>
      <c r="AI96" s="181"/>
      <c r="AJ96" s="24"/>
      <c r="AK96" s="26"/>
      <c r="AL96" s="42" t="str">
        <f>IF(OR(Table13[[#This Row],[Annual Increase Option]]="No increase",Table13[[#This Row],[Annual Increase Option]]=""),"",_xlfn.XLOOKUP(MONTH(Table13[[#This Row],[Commencement Date]]),DropdownList!$A$19:$A$30,DropdownList!$B$19:$B$30,0))</f>
        <v/>
      </c>
      <c r="AM96" s="178"/>
      <c r="AN96" s="178"/>
      <c r="AO96" s="178"/>
      <c r="AP96" s="178"/>
      <c r="AQ96" s="26"/>
      <c r="AR96" s="178"/>
      <c r="AS96" s="178"/>
      <c r="AT96" s="185"/>
      <c r="AU96" s="178"/>
      <c r="AV96" s="181"/>
      <c r="AW96" s="187"/>
      <c r="AY96" s="188">
        <f>'Onboarding Calcs'!Q93</f>
        <v>0</v>
      </c>
    </row>
    <row r="97" spans="1:51" ht="15" customHeight="1" x14ac:dyDescent="0.3">
      <c r="A97" s="190"/>
      <c r="B97" s="178"/>
      <c r="C97" s="178"/>
      <c r="D97" s="178"/>
      <c r="E97" s="78"/>
      <c r="F97" s="78"/>
      <c r="G97" s="179"/>
      <c r="H97" s="180"/>
      <c r="I97" s="181"/>
      <c r="J97" s="175" t="str">
        <f>IF(_xlfn.XLOOKUP(B97,DropdownList!$C$2:$C$8,DropdownList!$B$2:$B$8,0)=0,"",_xlfn.XLOOKUP(B97,DropdownList!$C$2:$C$8,DropdownList!$B$2:$B$8,0))</f>
        <v/>
      </c>
      <c r="K97" s="182"/>
      <c r="L97" s="183"/>
      <c r="M97" s="44">
        <f>IF('Onboarding Calcs'!N94=0,0,'Onboarding Calcs'!N94)</f>
        <v>0</v>
      </c>
      <c r="N97" s="26"/>
      <c r="O97" s="178"/>
      <c r="P97" s="178"/>
      <c r="Q97" s="184"/>
      <c r="R97" s="184"/>
      <c r="S97" s="178"/>
      <c r="T97" s="178"/>
      <c r="U97" s="178"/>
      <c r="V97" s="178"/>
      <c r="W97" s="178"/>
      <c r="X97" s="178"/>
      <c r="Y97" s="185"/>
      <c r="Z97" s="178"/>
      <c r="AA97" s="178"/>
      <c r="AB97" s="178"/>
      <c r="AC97" s="178"/>
      <c r="AD97" s="178"/>
      <c r="AE97" s="185"/>
      <c r="AF97" s="185"/>
      <c r="AG97" s="185"/>
      <c r="AH97" s="186"/>
      <c r="AI97" s="181"/>
      <c r="AJ97" s="24"/>
      <c r="AK97" s="26"/>
      <c r="AL97" s="42" t="str">
        <f>IF(OR(Table13[[#This Row],[Annual Increase Option]]="No increase",Table13[[#This Row],[Annual Increase Option]]=""),"",_xlfn.XLOOKUP(MONTH(Table13[[#This Row],[Commencement Date]]),DropdownList!$A$19:$A$30,DropdownList!$B$19:$B$30,0))</f>
        <v/>
      </c>
      <c r="AM97" s="178"/>
      <c r="AN97" s="178"/>
      <c r="AO97" s="178"/>
      <c r="AP97" s="178"/>
      <c r="AQ97" s="26"/>
      <c r="AR97" s="178"/>
      <c r="AS97" s="178"/>
      <c r="AT97" s="185"/>
      <c r="AU97" s="178"/>
      <c r="AV97" s="181"/>
      <c r="AW97" s="187"/>
      <c r="AY97" s="188">
        <f>'Onboarding Calcs'!Q94</f>
        <v>0</v>
      </c>
    </row>
    <row r="98" spans="1:51" ht="15" customHeight="1" x14ac:dyDescent="0.3">
      <c r="A98" s="190"/>
      <c r="B98" s="178"/>
      <c r="C98" s="178"/>
      <c r="D98" s="178"/>
      <c r="E98" s="78"/>
      <c r="F98" s="78"/>
      <c r="G98" s="179"/>
      <c r="H98" s="180"/>
      <c r="I98" s="181"/>
      <c r="J98" s="175" t="str">
        <f>IF(_xlfn.XLOOKUP(B98,DropdownList!$C$2:$C$8,DropdownList!$B$2:$B$8,0)=0,"",_xlfn.XLOOKUP(B98,DropdownList!$C$2:$C$8,DropdownList!$B$2:$B$8,0))</f>
        <v/>
      </c>
      <c r="K98" s="182"/>
      <c r="L98" s="183"/>
      <c r="M98" s="44">
        <f>IF('Onboarding Calcs'!N95=0,0,'Onboarding Calcs'!N95)</f>
        <v>0</v>
      </c>
      <c r="N98" s="26"/>
      <c r="O98" s="178"/>
      <c r="P98" s="178"/>
      <c r="Q98" s="184"/>
      <c r="R98" s="184"/>
      <c r="S98" s="178"/>
      <c r="T98" s="178"/>
      <c r="U98" s="178"/>
      <c r="V98" s="178"/>
      <c r="W98" s="178"/>
      <c r="X98" s="178"/>
      <c r="Y98" s="185"/>
      <c r="Z98" s="178"/>
      <c r="AA98" s="178"/>
      <c r="AB98" s="178"/>
      <c r="AC98" s="178"/>
      <c r="AD98" s="178"/>
      <c r="AE98" s="185"/>
      <c r="AF98" s="185"/>
      <c r="AG98" s="185"/>
      <c r="AH98" s="186"/>
      <c r="AI98" s="181"/>
      <c r="AJ98" s="24"/>
      <c r="AK98" s="26"/>
      <c r="AL98" s="42" t="str">
        <f>IF(OR(Table13[[#This Row],[Annual Increase Option]]="No increase",Table13[[#This Row],[Annual Increase Option]]=""),"",_xlfn.XLOOKUP(MONTH(Table13[[#This Row],[Commencement Date]]),DropdownList!$A$19:$A$30,DropdownList!$B$19:$B$30,0))</f>
        <v/>
      </c>
      <c r="AM98" s="178"/>
      <c r="AN98" s="178"/>
      <c r="AO98" s="178"/>
      <c r="AP98" s="178"/>
      <c r="AQ98" s="26"/>
      <c r="AR98" s="178"/>
      <c r="AS98" s="178"/>
      <c r="AT98" s="185"/>
      <c r="AU98" s="178"/>
      <c r="AV98" s="181"/>
      <c r="AW98" s="187"/>
      <c r="AY98" s="188">
        <f>'Onboarding Calcs'!Q95</f>
        <v>0</v>
      </c>
    </row>
    <row r="99" spans="1:51" ht="15" customHeight="1" x14ac:dyDescent="0.3">
      <c r="A99" s="190"/>
      <c r="B99" s="178"/>
      <c r="C99" s="178"/>
      <c r="D99" s="178"/>
      <c r="E99" s="78"/>
      <c r="F99" s="78"/>
      <c r="G99" s="179"/>
      <c r="H99" s="180"/>
      <c r="I99" s="181"/>
      <c r="J99" s="175" t="str">
        <f>IF(_xlfn.XLOOKUP(B99,DropdownList!$C$2:$C$8,DropdownList!$B$2:$B$8,0)=0,"",_xlfn.XLOOKUP(B99,DropdownList!$C$2:$C$8,DropdownList!$B$2:$B$8,0))</f>
        <v/>
      </c>
      <c r="K99" s="182"/>
      <c r="L99" s="183"/>
      <c r="M99" s="44">
        <f>IF('Onboarding Calcs'!N96=0,0,'Onboarding Calcs'!N96)</f>
        <v>0</v>
      </c>
      <c r="N99" s="26"/>
      <c r="O99" s="178"/>
      <c r="P99" s="178"/>
      <c r="Q99" s="184"/>
      <c r="R99" s="184"/>
      <c r="S99" s="178"/>
      <c r="T99" s="178"/>
      <c r="U99" s="178"/>
      <c r="V99" s="178"/>
      <c r="W99" s="178"/>
      <c r="X99" s="178"/>
      <c r="Y99" s="185"/>
      <c r="Z99" s="178"/>
      <c r="AA99" s="178"/>
      <c r="AB99" s="178"/>
      <c r="AC99" s="178"/>
      <c r="AD99" s="178"/>
      <c r="AE99" s="185"/>
      <c r="AF99" s="185"/>
      <c r="AG99" s="185"/>
      <c r="AH99" s="186"/>
      <c r="AI99" s="181"/>
      <c r="AJ99" s="24"/>
      <c r="AK99" s="26"/>
      <c r="AL99" s="42" t="str">
        <f>IF(OR(Table13[[#This Row],[Annual Increase Option]]="No increase",Table13[[#This Row],[Annual Increase Option]]=""),"",_xlfn.XLOOKUP(MONTH(Table13[[#This Row],[Commencement Date]]),DropdownList!$A$19:$A$30,DropdownList!$B$19:$B$30,0))</f>
        <v/>
      </c>
      <c r="AM99" s="178"/>
      <c r="AN99" s="178"/>
      <c r="AO99" s="178"/>
      <c r="AP99" s="178"/>
      <c r="AQ99" s="26"/>
      <c r="AR99" s="178"/>
      <c r="AS99" s="178"/>
      <c r="AT99" s="185"/>
      <c r="AU99" s="178"/>
      <c r="AV99" s="181"/>
      <c r="AW99" s="187"/>
      <c r="AY99" s="188">
        <f>'Onboarding Calcs'!Q96</f>
        <v>0</v>
      </c>
    </row>
    <row r="100" spans="1:51" ht="15" customHeight="1" x14ac:dyDescent="0.3">
      <c r="A100" s="190"/>
      <c r="B100" s="178"/>
      <c r="C100" s="178"/>
      <c r="D100" s="178"/>
      <c r="E100" s="78"/>
      <c r="F100" s="78"/>
      <c r="G100" s="179"/>
      <c r="H100" s="180"/>
      <c r="I100" s="181"/>
      <c r="J100" s="175" t="str">
        <f>IF(_xlfn.XLOOKUP(B100,DropdownList!$C$2:$C$8,DropdownList!$B$2:$B$8,0)=0,"",_xlfn.XLOOKUP(B100,DropdownList!$C$2:$C$8,DropdownList!$B$2:$B$8,0))</f>
        <v/>
      </c>
      <c r="K100" s="182"/>
      <c r="L100" s="183"/>
      <c r="M100" s="44">
        <f>IF('Onboarding Calcs'!N97=0,0,'Onboarding Calcs'!N97)</f>
        <v>0</v>
      </c>
      <c r="N100" s="26"/>
      <c r="O100" s="178"/>
      <c r="P100" s="178"/>
      <c r="Q100" s="184"/>
      <c r="R100" s="184"/>
      <c r="S100" s="178"/>
      <c r="T100" s="178"/>
      <c r="U100" s="178"/>
      <c r="V100" s="178"/>
      <c r="W100" s="178"/>
      <c r="X100" s="178"/>
      <c r="Y100" s="185"/>
      <c r="Z100" s="178"/>
      <c r="AA100" s="178"/>
      <c r="AB100" s="178"/>
      <c r="AC100" s="178"/>
      <c r="AD100" s="178"/>
      <c r="AE100" s="185"/>
      <c r="AF100" s="185"/>
      <c r="AG100" s="185"/>
      <c r="AH100" s="186"/>
      <c r="AI100" s="181"/>
      <c r="AJ100" s="24"/>
      <c r="AK100" s="26"/>
      <c r="AL100" s="42" t="str">
        <f>IF(OR(Table13[[#This Row],[Annual Increase Option]]="No increase",Table13[[#This Row],[Annual Increase Option]]=""),"",_xlfn.XLOOKUP(MONTH(Table13[[#This Row],[Commencement Date]]),DropdownList!$A$19:$A$30,DropdownList!$B$19:$B$30,0))</f>
        <v/>
      </c>
      <c r="AM100" s="178"/>
      <c r="AN100" s="178"/>
      <c r="AO100" s="178"/>
      <c r="AP100" s="178"/>
      <c r="AQ100" s="26"/>
      <c r="AR100" s="178"/>
      <c r="AS100" s="178"/>
      <c r="AT100" s="185"/>
      <c r="AU100" s="178"/>
      <c r="AV100" s="181"/>
      <c r="AW100" s="187"/>
      <c r="AY100" s="188">
        <f>'Onboarding Calcs'!Q97</f>
        <v>0</v>
      </c>
    </row>
    <row r="101" spans="1:51" ht="15" customHeight="1" x14ac:dyDescent="0.3">
      <c r="A101" s="190"/>
      <c r="B101" s="178"/>
      <c r="C101" s="178"/>
      <c r="D101" s="178"/>
      <c r="E101" s="78"/>
      <c r="F101" s="78"/>
      <c r="G101" s="179"/>
      <c r="H101" s="180"/>
      <c r="I101" s="181"/>
      <c r="J101" s="175" t="str">
        <f>IF(_xlfn.XLOOKUP(B101,DropdownList!$C$2:$C$8,DropdownList!$B$2:$B$8,0)=0,"",_xlfn.XLOOKUP(B101,DropdownList!$C$2:$C$8,DropdownList!$B$2:$B$8,0))</f>
        <v/>
      </c>
      <c r="K101" s="182"/>
      <c r="L101" s="183"/>
      <c r="M101" s="44">
        <f>IF('Onboarding Calcs'!N98=0,0,'Onboarding Calcs'!N98)</f>
        <v>0</v>
      </c>
      <c r="N101" s="26"/>
      <c r="O101" s="178"/>
      <c r="P101" s="178"/>
      <c r="Q101" s="184"/>
      <c r="R101" s="184"/>
      <c r="S101" s="178"/>
      <c r="T101" s="178"/>
      <c r="U101" s="178"/>
      <c r="V101" s="178"/>
      <c r="W101" s="178"/>
      <c r="X101" s="178"/>
      <c r="Y101" s="185"/>
      <c r="Z101" s="178"/>
      <c r="AA101" s="178"/>
      <c r="AB101" s="178"/>
      <c r="AC101" s="178"/>
      <c r="AD101" s="178"/>
      <c r="AE101" s="185"/>
      <c r="AF101" s="185"/>
      <c r="AG101" s="185"/>
      <c r="AH101" s="186"/>
      <c r="AI101" s="181"/>
      <c r="AJ101" s="24"/>
      <c r="AK101" s="26"/>
      <c r="AL101" s="42" t="str">
        <f>IF(OR(Table13[[#This Row],[Annual Increase Option]]="No increase",Table13[[#This Row],[Annual Increase Option]]=""),"",_xlfn.XLOOKUP(MONTH(Table13[[#This Row],[Commencement Date]]),DropdownList!$A$19:$A$30,DropdownList!$B$19:$B$30,0))</f>
        <v/>
      </c>
      <c r="AM101" s="178"/>
      <c r="AN101" s="178"/>
      <c r="AO101" s="178"/>
      <c r="AP101" s="178"/>
      <c r="AQ101" s="26"/>
      <c r="AR101" s="178"/>
      <c r="AS101" s="178"/>
      <c r="AT101" s="185"/>
      <c r="AU101" s="178"/>
      <c r="AV101" s="181"/>
      <c r="AW101" s="187"/>
      <c r="AY101" s="188">
        <f>'Onboarding Calcs'!Q98</f>
        <v>0</v>
      </c>
    </row>
    <row r="102" spans="1:51" x14ac:dyDescent="0.3"/>
  </sheetData>
  <sheetProtection algorithmName="SHA-512" hashValue="j2QaI8GuFJSPP8AKDp6MuTVpB/uqWEwdQquUYATkms/QDVcUdE5G0uLmIDDJ8wVL7zH0Kx6VZCZ/cj0/wGFwog==" saltValue="30Uy+M0KTsmAkViJ6o1FSg==" spinCount="100000" sheet="1" insertRows="0"/>
  <dataConsolidate link="1"/>
  <mergeCells count="12">
    <mergeCell ref="B1:C1"/>
    <mergeCell ref="C3:D3"/>
    <mergeCell ref="Q3:R3"/>
    <mergeCell ref="AM2:AP2"/>
    <mergeCell ref="AQ2:AV2"/>
    <mergeCell ref="A2:N2"/>
    <mergeCell ref="F3:G3"/>
    <mergeCell ref="T2:Y2"/>
    <mergeCell ref="O2:S2"/>
    <mergeCell ref="AJ2:AL2"/>
    <mergeCell ref="Z2:AE2"/>
    <mergeCell ref="AF2:AI2"/>
  </mergeCells>
  <phoneticPr fontId="4" type="noConversion"/>
  <conditionalFormatting sqref="A5:AW101">
    <cfRule type="expression" dxfId="5" priority="17">
      <formula>$B5="Main Member"</formula>
    </cfRule>
  </conditionalFormatting>
  <conditionalFormatting sqref="AY5:AY101">
    <cfRule type="expression" dxfId="4" priority="14">
      <formula>$B5="Main Member"</formula>
    </cfRule>
  </conditionalFormatting>
  <dataValidations count="3">
    <dataValidation type="whole" operator="greaterThan" allowBlank="1" showInputMessage="1" showErrorMessage="1" sqref="S5:S101" xr:uid="{C15C11D1-0282-4B83-BF40-6562046B4E6F}">
      <formula1>0</formula1>
    </dataValidation>
    <dataValidation operator="greaterThanOrEqual" allowBlank="1" showInputMessage="1" showErrorMessage="1" sqref="M5:M101" xr:uid="{DF408F56-5C0A-4540-AC40-619C36C4E459}"/>
    <dataValidation type="date" operator="lessThan" allowBlank="1" showInputMessage="1" showErrorMessage="1" sqref="Q5:R101" xr:uid="{7E439ECF-2DDF-4C64-93A6-A25B263615AF}">
      <formula1>K5</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3">
        <x14:dataValidation type="list" allowBlank="1" showInputMessage="1" showErrorMessage="1" xr:uid="{EC1A9D3B-6EC6-4214-992C-62A4EEB06515}">
          <x14:formula1>
            <xm:f>DropdownList!$C$2:$C$8</xm:f>
          </x14:formula1>
          <xm:sqref>B5:B101</xm:sqref>
        </x14:dataValidation>
        <x14:dataValidation type="list" allowBlank="1" showInputMessage="1" showErrorMessage="1" xr:uid="{02F93048-D2CF-4ACF-A8A2-7B82913BEBA1}">
          <x14:formula1>
            <xm:f>DropdownList!$K$2:$K$4</xm:f>
          </x14:formula1>
          <xm:sqref>I5:I101</xm:sqref>
        </x14:dataValidation>
        <x14:dataValidation type="list" allowBlank="1" showInputMessage="1" showErrorMessage="1" xr:uid="{B879E9FF-387F-4D2E-BE90-A2D7AD8A8744}">
          <x14:formula1>
            <xm:f>DropdownList!$J$2:$J$21</xm:f>
          </x14:formula1>
          <xm:sqref>O5:O101</xm:sqref>
        </x14:dataValidation>
        <x14:dataValidation type="list" allowBlank="1" showInputMessage="1" showErrorMessage="1" xr:uid="{D37CFFE9-76D8-4A30-B48B-1D12652D9B92}">
          <x14:formula1>
            <xm:f>DropdownList!$N$3:$N$5</xm:f>
          </x14:formula1>
          <xm:sqref>AQ5:AQ101</xm:sqref>
        </x14:dataValidation>
        <x14:dataValidation type="list" allowBlank="1" showInputMessage="1" showErrorMessage="1" xr:uid="{E9D9CF10-0C11-4E48-AC13-DCD3E50725D4}">
          <x14:formula1>
            <xm:f>DropdownList!$D$3:$D$5</xm:f>
          </x14:formula1>
          <xm:sqref>AI5:AI101</xm:sqref>
        </x14:dataValidation>
        <x14:dataValidation type="list" allowBlank="1" showInputMessage="1" showErrorMessage="1" xr:uid="{9F2F8B36-F1E4-43CF-A9BB-2889345B5C90}">
          <x14:formula1>
            <xm:f>DropdownList!$M$3:$M$4</xm:f>
          </x14:formula1>
          <xm:sqref>AJ5:AJ101</xm:sqref>
        </x14:dataValidation>
        <x14:dataValidation type="list" allowBlank="1" showInputMessage="1" showErrorMessage="1" xr:uid="{C3A829C9-3AFB-4497-8B10-205702C4DA9A}">
          <x14:formula1>
            <xm:f>DropdownList!$E$3:$E$5</xm:f>
          </x14:formula1>
          <xm:sqref>AK5:AK101</xm:sqref>
        </x14:dataValidation>
        <x14:dataValidation type="list" allowBlank="1" showInputMessage="1" showErrorMessage="1" xr:uid="{9250B8E3-A853-46CB-9A2B-C0B3CD47ED91}">
          <x14:formula1>
            <xm:f>DropdownList!$H$3:$H$16</xm:f>
          </x14:formula1>
          <xm:sqref>AR5:AR101</xm:sqref>
        </x14:dataValidation>
        <x14:dataValidation type="list" allowBlank="1" showInputMessage="1" showErrorMessage="1" xr:uid="{543F83E5-4791-4DB0-81B8-74F42196C66C}">
          <x14:formula1>
            <xm:f>DropdownList!$I$3:$I$7</xm:f>
          </x14:formula1>
          <xm:sqref>AU5:AU101</xm:sqref>
        </x14:dataValidation>
        <x14:dataValidation type="date" allowBlank="1" showInputMessage="1" showErrorMessage="1" errorTitle="Invalid Commencement Date" error="The commencement date should be after the launch date of this product and within 90-days thereafter._x000a__x000a_Please use the right version of the Onboarding Sheet if the commencement date is before the launch date." xr:uid="{43C2E8AF-8EDB-4E77-ADAD-F14436889941}">
          <x14:formula1>
            <xm:f>DropdownList!$Q$2</xm:f>
          </x14:formula1>
          <x14:formula2>
            <xm:f>DropdownList!$Q$3</xm:f>
          </x14:formula2>
          <xm:sqref>K5:K9 K12:K101</xm:sqref>
        </x14:dataValidation>
        <x14:dataValidation type="list" operator="greaterThan" allowBlank="1" showInputMessage="1" showErrorMessage="1" xr:uid="{BC802C93-CCF9-42A8-BA7C-ABCEB6B3CB8A}">
          <x14:formula1>
            <xm:f>DropdownList!$L$2:$L$4</xm:f>
          </x14:formula1>
          <xm:sqref>L5:L101</xm:sqref>
        </x14:dataValidation>
        <x14:dataValidation type="whole" allowBlank="1" showInputMessage="1" showErrorMessage="1" errorTitle="Funeral Cover Limit" error="Cover amount:_x000a_1) Should be a positive value; or_x000a_2) Must not exceed the Main Member's funeral cover; or_x000a_3) Must not exceed max limit or number of lives based on Member Type (refer to column AY and Important Notes)." xr:uid="{9CA51BC1-E804-473C-A6B7-A1795818B771}">
          <x14:formula1>
            <xm:f>0</xm:f>
          </x14:formula1>
          <x14:formula2>
            <xm:f>'Onboarding Calcs'!O3</xm:f>
          </x14:formula2>
          <xm:sqref>N5:N22</xm:sqref>
        </x14:dataValidation>
        <x14:dataValidation type="whole" allowBlank="1" showInputMessage="1" showErrorMessage="1" errorTitle="Funeral Cover Limit" error="Cover amount:_x000a_1) Should be a positive value; or_x000a_2) Must not exceed the Main Member's funeral cover; or_x000a_3) Must not exceed max limit or number of lives based on Member Type (refer to column AY and Important Notes)." xr:uid="{1979CED8-3C22-42AA-8079-DD1C678FD367}">
          <x14:formula1>
            <xm:f>0</xm:f>
          </x14:formula1>
          <x14:formula2>
            <xm:f>'Onboarding Calcs'!O20</xm:f>
          </x14:formula2>
          <xm:sqref>N23:N101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93"/>
  <sheetViews>
    <sheetView workbookViewId="0">
      <selection activeCell="U6" sqref="U6"/>
    </sheetView>
  </sheetViews>
  <sheetFormatPr defaultColWidth="8.88671875" defaultRowHeight="13.8" x14ac:dyDescent="0.3"/>
  <cols>
    <col min="1" max="1" width="13.44140625" style="31" bestFit="1" customWidth="1"/>
    <col min="2" max="2" width="58.44140625" style="31" customWidth="1"/>
    <col min="3" max="3" width="13.44140625" style="31" bestFit="1" customWidth="1"/>
    <col min="4" max="4" width="14.5546875" style="31" customWidth="1"/>
    <col min="5" max="5" width="42" style="31" bestFit="1" customWidth="1"/>
    <col min="6" max="6" width="9.21875" style="31" customWidth="1"/>
    <col min="7" max="7" width="10.88671875" style="31" bestFit="1" customWidth="1"/>
    <col min="8" max="8" width="20.109375" style="31" bestFit="1" customWidth="1"/>
    <col min="9" max="9" width="20.44140625" style="31" bestFit="1" customWidth="1"/>
    <col min="10" max="10" width="33.44140625" style="31" bestFit="1" customWidth="1"/>
    <col min="11" max="11" width="11.109375" style="31" customWidth="1"/>
    <col min="12" max="12" width="16.109375" style="31" customWidth="1"/>
    <col min="13" max="13" width="37.88671875" style="31" bestFit="1" customWidth="1"/>
    <col min="14" max="14" width="28" style="31" bestFit="1" customWidth="1"/>
    <col min="15" max="15" width="8.88671875" style="31"/>
    <col min="16" max="16" width="9.21875" style="31" bestFit="1" customWidth="1"/>
    <col min="17" max="17" width="11.44140625" style="31" customWidth="1"/>
    <col min="18" max="16384" width="8.88671875" style="31"/>
  </cols>
  <sheetData>
    <row r="1" spans="1:17" ht="28.8" x14ac:dyDescent="0.3">
      <c r="A1" s="39" t="s">
        <v>89</v>
      </c>
      <c r="B1" s="39" t="s">
        <v>90</v>
      </c>
      <c r="C1" s="39" t="s">
        <v>89</v>
      </c>
      <c r="D1" s="39" t="s">
        <v>91</v>
      </c>
      <c r="E1" s="39" t="s">
        <v>44</v>
      </c>
      <c r="F1" s="39" t="s">
        <v>92</v>
      </c>
      <c r="G1" s="39" t="s">
        <v>93</v>
      </c>
      <c r="H1" s="39" t="s">
        <v>94</v>
      </c>
      <c r="I1" s="39" t="s">
        <v>54</v>
      </c>
      <c r="J1" s="39" t="s">
        <v>95</v>
      </c>
      <c r="K1" s="39" t="s">
        <v>16</v>
      </c>
      <c r="L1" s="39" t="s">
        <v>96</v>
      </c>
      <c r="M1" s="39" t="s">
        <v>43</v>
      </c>
      <c r="N1" s="39" t="s">
        <v>50</v>
      </c>
      <c r="O1" s="39" t="s">
        <v>258</v>
      </c>
      <c r="P1" s="38" t="s">
        <v>156</v>
      </c>
      <c r="Q1" s="38" t="s">
        <v>157</v>
      </c>
    </row>
    <row r="2" spans="1:17" ht="14.4" x14ac:dyDescent="0.3">
      <c r="A2" s="3"/>
      <c r="B2" s="4"/>
      <c r="C2" s="4"/>
      <c r="D2" s="4"/>
      <c r="E2" s="5"/>
      <c r="F2" s="5"/>
      <c r="G2" s="6"/>
      <c r="H2" s="6"/>
      <c r="I2" s="6"/>
      <c r="J2" s="19"/>
      <c r="K2" s="5"/>
      <c r="P2" s="36" t="s">
        <v>155</v>
      </c>
      <c r="Q2" s="37">
        <v>46011</v>
      </c>
    </row>
    <row r="3" spans="1:17" ht="14.4" x14ac:dyDescent="0.3">
      <c r="A3" s="8" t="s">
        <v>57</v>
      </c>
      <c r="B3" s="1" t="s">
        <v>59</v>
      </c>
      <c r="C3" s="32" t="s">
        <v>57</v>
      </c>
      <c r="D3" s="2" t="s">
        <v>41</v>
      </c>
      <c r="E3" s="2" t="s">
        <v>97</v>
      </c>
      <c r="F3" s="2" t="s">
        <v>98</v>
      </c>
      <c r="G3" s="33" t="s">
        <v>99</v>
      </c>
      <c r="H3" s="33" t="s">
        <v>100</v>
      </c>
      <c r="I3" s="33" t="s">
        <v>101</v>
      </c>
      <c r="J3" s="33" t="s">
        <v>102</v>
      </c>
      <c r="K3" s="2" t="s">
        <v>58</v>
      </c>
      <c r="L3" s="2" t="s">
        <v>60</v>
      </c>
      <c r="M3" s="2" t="s">
        <v>103</v>
      </c>
      <c r="N3" s="2" t="s">
        <v>64</v>
      </c>
      <c r="O3" s="84">
        <v>1.53</v>
      </c>
      <c r="P3" s="43" t="s">
        <v>180</v>
      </c>
      <c r="Q3" s="159">
        <f ca="1">MAX(Q2,TODAY())+90</f>
        <v>46313</v>
      </c>
    </row>
    <row r="4" spans="1:17" ht="15" customHeight="1" x14ac:dyDescent="0.3">
      <c r="A4" s="7" t="s">
        <v>67</v>
      </c>
      <c r="B4" s="34" t="s">
        <v>69</v>
      </c>
      <c r="C4" s="32" t="s">
        <v>67</v>
      </c>
      <c r="D4" s="35" t="s">
        <v>104</v>
      </c>
      <c r="E4" s="2" t="s">
        <v>105</v>
      </c>
      <c r="F4" s="2" t="s">
        <v>106</v>
      </c>
      <c r="G4" s="33" t="s">
        <v>107</v>
      </c>
      <c r="H4" s="33" t="s">
        <v>108</v>
      </c>
      <c r="I4" s="33" t="s">
        <v>109</v>
      </c>
      <c r="J4" s="33" t="s">
        <v>110</v>
      </c>
      <c r="K4" s="2" t="s">
        <v>68</v>
      </c>
      <c r="L4" s="2" t="s">
        <v>111</v>
      </c>
      <c r="M4" s="2" t="s">
        <v>61</v>
      </c>
      <c r="N4" s="2" t="s">
        <v>112</v>
      </c>
      <c r="O4" s="84">
        <v>7.6</v>
      </c>
    </row>
    <row r="5" spans="1:17" ht="15" customHeight="1" x14ac:dyDescent="0.3">
      <c r="A5" s="7" t="s">
        <v>70</v>
      </c>
      <c r="B5" s="34" t="s">
        <v>71</v>
      </c>
      <c r="C5" s="32" t="s">
        <v>70</v>
      </c>
      <c r="D5" s="35" t="s">
        <v>113</v>
      </c>
      <c r="E5" s="2" t="s">
        <v>62</v>
      </c>
      <c r="F5" s="19"/>
      <c r="G5" s="33" t="s">
        <v>114</v>
      </c>
      <c r="H5" s="33" t="s">
        <v>115</v>
      </c>
      <c r="I5" s="33" t="s">
        <v>116</v>
      </c>
      <c r="J5" s="33" t="s">
        <v>117</v>
      </c>
      <c r="N5" s="2" t="s">
        <v>118</v>
      </c>
      <c r="O5" s="85"/>
      <c r="P5" s="77"/>
      <c r="Q5" s="77"/>
    </row>
    <row r="6" spans="1:17" ht="15" customHeight="1" thickBot="1" x14ac:dyDescent="0.35">
      <c r="A6" s="7" t="s">
        <v>72</v>
      </c>
      <c r="B6" s="34" t="s">
        <v>73</v>
      </c>
      <c r="C6" s="32" t="s">
        <v>72</v>
      </c>
      <c r="D6" s="19"/>
      <c r="E6" s="19"/>
      <c r="F6" s="19"/>
      <c r="G6" s="33" t="s">
        <v>119</v>
      </c>
      <c r="H6" s="33" t="s">
        <v>65</v>
      </c>
      <c r="I6" s="33" t="s">
        <v>66</v>
      </c>
      <c r="J6" s="33" t="s">
        <v>120</v>
      </c>
    </row>
    <row r="7" spans="1:17" ht="13.5" customHeight="1" x14ac:dyDescent="0.3">
      <c r="A7" s="7" t="s">
        <v>74</v>
      </c>
      <c r="B7" s="34" t="s">
        <v>75</v>
      </c>
      <c r="C7" s="32" t="s">
        <v>74</v>
      </c>
      <c r="D7" s="19"/>
      <c r="E7" s="80" t="s">
        <v>205</v>
      </c>
      <c r="F7" s="19"/>
      <c r="G7" s="33" t="s">
        <v>121</v>
      </c>
      <c r="H7" s="33" t="s">
        <v>122</v>
      </c>
      <c r="I7" s="33" t="s">
        <v>123</v>
      </c>
      <c r="J7" s="33" t="s">
        <v>124</v>
      </c>
    </row>
    <row r="8" spans="1:17" ht="15.75" customHeight="1" x14ac:dyDescent="0.3">
      <c r="A8" s="7" t="s">
        <v>76</v>
      </c>
      <c r="B8" s="34"/>
      <c r="C8" s="32" t="s">
        <v>76</v>
      </c>
      <c r="D8" s="19"/>
      <c r="E8" s="81" t="s">
        <v>204</v>
      </c>
      <c r="F8" s="19"/>
      <c r="G8" s="33" t="s">
        <v>125</v>
      </c>
      <c r="H8" s="33" t="s">
        <v>126</v>
      </c>
      <c r="I8" s="19"/>
      <c r="J8" s="33" t="s">
        <v>127</v>
      </c>
    </row>
    <row r="9" spans="1:17" ht="15.75" customHeight="1" x14ac:dyDescent="0.3">
      <c r="A9" s="19"/>
      <c r="B9" s="19"/>
      <c r="C9" s="19"/>
      <c r="E9" s="82" t="s">
        <v>240</v>
      </c>
      <c r="F9" s="19"/>
      <c r="G9" s="33" t="s">
        <v>128</v>
      </c>
      <c r="H9" s="33" t="s">
        <v>129</v>
      </c>
      <c r="I9" s="19"/>
      <c r="J9" s="33" t="s">
        <v>130</v>
      </c>
    </row>
    <row r="10" spans="1:17" ht="15" customHeight="1" thickBot="1" x14ac:dyDescent="0.35">
      <c r="A10" s="19"/>
      <c r="B10" s="19"/>
      <c r="C10" s="19"/>
      <c r="E10" s="83" t="s">
        <v>241</v>
      </c>
      <c r="F10" s="19"/>
      <c r="G10" s="33" t="s">
        <v>131</v>
      </c>
      <c r="H10" s="33" t="s">
        <v>132</v>
      </c>
      <c r="I10" s="19"/>
      <c r="J10" s="33" t="s">
        <v>133</v>
      </c>
    </row>
    <row r="11" spans="1:17" ht="15" customHeight="1" x14ac:dyDescent="0.3">
      <c r="A11" s="19"/>
      <c r="B11" s="19"/>
      <c r="C11" s="19"/>
      <c r="F11" s="19"/>
      <c r="G11" s="33" t="s">
        <v>63</v>
      </c>
      <c r="H11" s="33" t="s">
        <v>134</v>
      </c>
      <c r="I11" s="19"/>
      <c r="J11" s="33" t="s">
        <v>135</v>
      </c>
    </row>
    <row r="12" spans="1:17" ht="15" customHeight="1" x14ac:dyDescent="0.3">
      <c r="A12" s="19"/>
      <c r="B12" s="19"/>
      <c r="C12" s="19"/>
      <c r="F12" s="19"/>
      <c r="G12" s="33" t="s">
        <v>136</v>
      </c>
      <c r="H12" s="33" t="s">
        <v>137</v>
      </c>
      <c r="I12" s="19"/>
      <c r="J12" s="33" t="s">
        <v>138</v>
      </c>
    </row>
    <row r="13" spans="1:17" ht="15" customHeight="1" x14ac:dyDescent="0.3">
      <c r="A13" s="19"/>
      <c r="B13" s="19"/>
      <c r="C13" s="19"/>
      <c r="D13" s="19"/>
      <c r="E13" s="19"/>
      <c r="F13" s="19"/>
      <c r="G13" s="33" t="s">
        <v>139</v>
      </c>
      <c r="H13" s="33" t="s">
        <v>140</v>
      </c>
      <c r="I13" s="19"/>
      <c r="J13" s="33" t="s">
        <v>141</v>
      </c>
    </row>
    <row r="14" spans="1:17" ht="15" customHeight="1" x14ac:dyDescent="0.3">
      <c r="A14" s="19"/>
      <c r="B14" s="19"/>
      <c r="C14" s="19"/>
      <c r="D14" s="19"/>
      <c r="E14" s="19"/>
      <c r="F14" s="19"/>
      <c r="G14" s="33" t="s">
        <v>142</v>
      </c>
      <c r="H14" s="33" t="s">
        <v>143</v>
      </c>
      <c r="I14" s="19"/>
      <c r="J14" s="33" t="s">
        <v>144</v>
      </c>
    </row>
    <row r="15" spans="1:17" ht="15" customHeight="1" x14ac:dyDescent="0.3">
      <c r="A15" s="19"/>
      <c r="B15" s="19"/>
      <c r="C15" s="19"/>
      <c r="D15" s="19"/>
      <c r="E15" s="19"/>
      <c r="F15" s="19"/>
      <c r="G15" s="19"/>
      <c r="H15" s="33" t="s">
        <v>145</v>
      </c>
      <c r="I15" s="19"/>
      <c r="J15" s="33" t="s">
        <v>146</v>
      </c>
    </row>
    <row r="16" spans="1:17" ht="15" customHeight="1" x14ac:dyDescent="0.3">
      <c r="A16" s="19"/>
      <c r="B16" s="19"/>
      <c r="C16" s="19"/>
      <c r="D16" s="19"/>
      <c r="E16" s="19"/>
      <c r="F16" s="19"/>
      <c r="G16" s="19"/>
      <c r="H16" s="33" t="s">
        <v>147</v>
      </c>
      <c r="I16" s="19"/>
      <c r="J16" s="33" t="s">
        <v>148</v>
      </c>
    </row>
    <row r="17" spans="1:10" ht="15" customHeight="1" x14ac:dyDescent="0.3">
      <c r="A17" s="19"/>
      <c r="B17" s="19"/>
      <c r="C17" s="19"/>
      <c r="D17" s="19"/>
      <c r="E17" s="19"/>
      <c r="F17" s="19"/>
      <c r="G17" s="19"/>
      <c r="H17" s="19"/>
      <c r="I17" s="19"/>
      <c r="J17" s="33" t="s">
        <v>149</v>
      </c>
    </row>
    <row r="18" spans="1:10" ht="15" customHeight="1" x14ac:dyDescent="0.3">
      <c r="A18" s="223" t="s">
        <v>179</v>
      </c>
      <c r="B18" s="223"/>
      <c r="C18" s="19"/>
      <c r="D18" s="19"/>
      <c r="E18" s="19"/>
      <c r="F18" s="19"/>
      <c r="G18" s="19"/>
      <c r="H18" s="19"/>
      <c r="I18" s="19"/>
      <c r="J18" s="33" t="s">
        <v>150</v>
      </c>
    </row>
    <row r="19" spans="1:10" ht="15" customHeight="1" x14ac:dyDescent="0.3">
      <c r="A19" s="40">
        <v>1</v>
      </c>
      <c r="B19" s="41" t="s">
        <v>99</v>
      </c>
      <c r="C19" s="19"/>
      <c r="D19" s="19"/>
      <c r="E19" s="19"/>
      <c r="F19" s="19"/>
      <c r="G19" s="19"/>
      <c r="H19" s="19"/>
      <c r="I19" s="19"/>
      <c r="J19" s="33" t="s">
        <v>151</v>
      </c>
    </row>
    <row r="20" spans="1:10" ht="15" customHeight="1" x14ac:dyDescent="0.3">
      <c r="A20" s="40">
        <v>2</v>
      </c>
      <c r="B20" s="41" t="s">
        <v>107</v>
      </c>
      <c r="C20" s="19"/>
      <c r="D20" s="19"/>
      <c r="E20" s="19"/>
      <c r="F20" s="19"/>
      <c r="G20" s="19"/>
      <c r="H20" s="19"/>
      <c r="I20" s="19"/>
      <c r="J20" s="33" t="s">
        <v>152</v>
      </c>
    </row>
    <row r="21" spans="1:10" ht="15" customHeight="1" x14ac:dyDescent="0.3">
      <c r="A21" s="40">
        <v>3</v>
      </c>
      <c r="B21" s="41" t="s">
        <v>114</v>
      </c>
      <c r="C21" s="19"/>
      <c r="D21" s="19"/>
      <c r="E21" s="19"/>
      <c r="F21" s="19"/>
      <c r="G21" s="19"/>
      <c r="H21" s="19"/>
      <c r="I21" s="19"/>
      <c r="J21" s="33" t="s">
        <v>153</v>
      </c>
    </row>
    <row r="22" spans="1:10" ht="15" customHeight="1" x14ac:dyDescent="0.3">
      <c r="A22" s="40">
        <v>4</v>
      </c>
      <c r="B22" s="41" t="s">
        <v>119</v>
      </c>
    </row>
    <row r="23" spans="1:10" ht="15.75" customHeight="1" x14ac:dyDescent="0.3">
      <c r="A23" s="40">
        <v>5</v>
      </c>
      <c r="B23" s="41" t="s">
        <v>121</v>
      </c>
    </row>
    <row r="24" spans="1:10" ht="15.75" customHeight="1" x14ac:dyDescent="0.3">
      <c r="A24" s="40">
        <v>6</v>
      </c>
      <c r="B24" s="41" t="s">
        <v>125</v>
      </c>
    </row>
    <row r="25" spans="1:10" ht="15.75" customHeight="1" x14ac:dyDescent="0.3">
      <c r="A25" s="40">
        <v>7</v>
      </c>
      <c r="B25" s="41" t="s">
        <v>128</v>
      </c>
    </row>
    <row r="26" spans="1:10" ht="15.75" customHeight="1" x14ac:dyDescent="0.3">
      <c r="A26" s="40">
        <v>8</v>
      </c>
      <c r="B26" s="41" t="s">
        <v>131</v>
      </c>
    </row>
    <row r="27" spans="1:10" ht="15.75" customHeight="1" x14ac:dyDescent="0.3">
      <c r="A27" s="40">
        <v>9</v>
      </c>
      <c r="B27" s="41" t="s">
        <v>63</v>
      </c>
    </row>
    <row r="28" spans="1:10" ht="15.75" customHeight="1" x14ac:dyDescent="0.3">
      <c r="A28" s="40">
        <v>10</v>
      </c>
      <c r="B28" s="41" t="s">
        <v>136</v>
      </c>
    </row>
    <row r="29" spans="1:10" ht="15.75" customHeight="1" x14ac:dyDescent="0.3">
      <c r="A29" s="40">
        <v>11</v>
      </c>
      <c r="B29" s="41" t="s">
        <v>139</v>
      </c>
    </row>
    <row r="30" spans="1:10" ht="15.75" customHeight="1" x14ac:dyDescent="0.3">
      <c r="A30" s="40">
        <v>12</v>
      </c>
      <c r="B30" s="41" t="s">
        <v>142</v>
      </c>
    </row>
    <row r="31" spans="1:10" ht="15.75" customHeight="1" x14ac:dyDescent="0.3"/>
    <row r="32" spans="1:1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75" customHeight="1" x14ac:dyDescent="0.3"/>
  </sheetData>
  <sheetProtection algorithmName="SHA-512" hashValue="cc85y/FVl6xqqNR1bcoEftlBxHih/9/5dpfL6sDy3uOS299XaWicK2S6eTWXiajG/rZZ1OAs30zvKrJS/8LoCQ==" saltValue="DQcP8tNfmOEXOZDltdpyrQ==" spinCount="100000" sheet="1" objects="1" scenarios="1"/>
  <mergeCells count="1">
    <mergeCell ref="A18:B1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EE91-1530-49A1-A840-959FBF458FA6}">
  <sheetPr codeName="Sheet4"/>
  <dimension ref="A1:BV63"/>
  <sheetViews>
    <sheetView topLeftCell="A41" zoomScaleNormal="100" workbookViewId="0">
      <selection activeCell="A7" sqref="A7:XFD7"/>
    </sheetView>
  </sheetViews>
  <sheetFormatPr defaultColWidth="0" defaultRowHeight="19.95" customHeight="1" zeroHeight="1" x14ac:dyDescent="0.3"/>
  <cols>
    <col min="1" max="1" width="2.77734375" style="45" customWidth="1"/>
    <col min="2" max="3" width="15.77734375" style="45" customWidth="1"/>
    <col min="4" max="4" width="15.77734375" style="45" hidden="1" customWidth="1"/>
    <col min="5" max="6" width="15.77734375" style="45" customWidth="1"/>
    <col min="7" max="7" width="2.77734375" style="45" customWidth="1"/>
    <col min="8" max="8" width="15.77734375" style="45" hidden="1" customWidth="1"/>
    <col min="9" max="9" width="20.88671875" style="45" hidden="1" customWidth="1"/>
    <col min="10" max="10" width="15.77734375" style="45" hidden="1" customWidth="1"/>
    <col min="11" max="16384" width="11" style="45" hidden="1"/>
  </cols>
  <sheetData>
    <row r="1" spans="2:74" ht="19.95" customHeight="1" x14ac:dyDescent="0.3">
      <c r="B1" s="69" t="s">
        <v>190</v>
      </c>
      <c r="I1" s="46"/>
      <c r="J1" s="47"/>
      <c r="K1" s="47"/>
      <c r="L1" s="47"/>
      <c r="M1" s="47"/>
      <c r="N1" s="47"/>
      <c r="O1" s="47"/>
      <c r="P1" s="47"/>
      <c r="Q1" s="47"/>
    </row>
    <row r="2" spans="2:74" ht="30" customHeight="1" x14ac:dyDescent="0.3">
      <c r="B2" s="48"/>
      <c r="C2" s="48"/>
      <c r="D2" s="48"/>
      <c r="I2" s="225" t="s">
        <v>192</v>
      </c>
      <c r="J2" s="225"/>
      <c r="K2" s="47"/>
      <c r="L2" s="47"/>
      <c r="M2" s="47"/>
      <c r="N2" s="47"/>
      <c r="O2" s="47"/>
      <c r="P2" s="47"/>
      <c r="Q2" s="47"/>
    </row>
    <row r="3" spans="2:74" ht="19.95" customHeight="1" x14ac:dyDescent="0.3">
      <c r="B3" s="49" t="s">
        <v>77</v>
      </c>
      <c r="C3" s="50"/>
      <c r="D3" s="50"/>
      <c r="E3" s="224" t="s">
        <v>78</v>
      </c>
      <c r="F3" s="224"/>
      <c r="H3" s="52" t="s">
        <v>185</v>
      </c>
      <c r="I3" s="52" t="s">
        <v>186</v>
      </c>
      <c r="J3" s="52" t="s">
        <v>189</v>
      </c>
      <c r="K3" s="51"/>
      <c r="L3" s="51"/>
      <c r="M3" s="51"/>
      <c r="N3" s="51"/>
      <c r="O3" s="51"/>
      <c r="P3" s="51"/>
      <c r="Q3" s="51"/>
      <c r="R3" s="51"/>
      <c r="S3" s="51"/>
    </row>
    <row r="4" spans="2:74" s="56" customFormat="1" ht="19.95" customHeight="1" x14ac:dyDescent="0.3">
      <c r="B4" s="52" t="s">
        <v>80</v>
      </c>
      <c r="C4" s="52" t="s">
        <v>81</v>
      </c>
      <c r="D4" s="52" t="s">
        <v>79</v>
      </c>
      <c r="E4" s="52" t="s">
        <v>82</v>
      </c>
      <c r="F4" s="52" t="s">
        <v>187</v>
      </c>
      <c r="G4" s="53"/>
      <c r="H4" s="66" t="s">
        <v>57</v>
      </c>
      <c r="I4" s="67">
        <v>1</v>
      </c>
      <c r="J4" s="68">
        <v>150000</v>
      </c>
      <c r="K4" s="54"/>
      <c r="L4" s="54"/>
      <c r="M4" s="54"/>
      <c r="N4" s="54"/>
      <c r="O4" s="54"/>
      <c r="P4" s="54"/>
      <c r="Q4" s="54"/>
      <c r="R4" s="55"/>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row>
    <row r="5" spans="2:74" ht="19.95" customHeight="1" x14ac:dyDescent="0.3">
      <c r="B5" s="57">
        <v>18</v>
      </c>
      <c r="C5" s="57">
        <v>25</v>
      </c>
      <c r="D5" s="57">
        <v>2</v>
      </c>
      <c r="E5" s="58">
        <v>97.75</v>
      </c>
      <c r="F5" s="58">
        <v>5.3549999999999995</v>
      </c>
      <c r="H5" s="66" t="s">
        <v>67</v>
      </c>
      <c r="I5" s="67">
        <v>1</v>
      </c>
      <c r="J5" s="68">
        <v>150000</v>
      </c>
      <c r="K5" s="47"/>
      <c r="L5" s="47"/>
      <c r="M5" s="47"/>
      <c r="N5" s="47"/>
      <c r="O5" s="47"/>
      <c r="P5" s="47"/>
      <c r="Q5" s="47"/>
      <c r="R5" s="59"/>
    </row>
    <row r="6" spans="2:74" ht="19.95" customHeight="1" x14ac:dyDescent="0.3">
      <c r="B6" s="57">
        <v>26</v>
      </c>
      <c r="C6" s="57">
        <v>35</v>
      </c>
      <c r="D6" s="57">
        <v>3</v>
      </c>
      <c r="E6" s="58">
        <v>97.75</v>
      </c>
      <c r="F6" s="58">
        <v>9.69</v>
      </c>
      <c r="H6" s="66" t="s">
        <v>74</v>
      </c>
      <c r="I6" s="67">
        <v>1</v>
      </c>
      <c r="J6" s="68">
        <v>75000</v>
      </c>
      <c r="K6" s="47"/>
      <c r="L6" s="47"/>
      <c r="M6" s="47"/>
      <c r="N6" s="47"/>
      <c r="O6" s="47"/>
      <c r="P6" s="47"/>
      <c r="Q6" s="47"/>
      <c r="R6" s="59"/>
      <c r="S6" s="60"/>
    </row>
    <row r="7" spans="2:74" ht="19.95" customHeight="1" x14ac:dyDescent="0.3">
      <c r="B7" s="57">
        <v>36</v>
      </c>
      <c r="C7" s="57">
        <v>45</v>
      </c>
      <c r="D7" s="57">
        <v>4</v>
      </c>
      <c r="E7" s="58">
        <v>97.75</v>
      </c>
      <c r="F7" s="58">
        <v>13.8125</v>
      </c>
      <c r="H7" s="66" t="s">
        <v>72</v>
      </c>
      <c r="I7" s="67">
        <v>1</v>
      </c>
      <c r="J7" s="68">
        <v>75000</v>
      </c>
      <c r="K7" s="47"/>
      <c r="L7" s="47"/>
      <c r="M7" s="47"/>
      <c r="N7" s="47"/>
      <c r="O7" s="47"/>
      <c r="P7" s="47"/>
      <c r="Q7" s="47"/>
      <c r="R7" s="47"/>
      <c r="S7" s="59"/>
    </row>
    <row r="8" spans="2:74" ht="19.95" customHeight="1" x14ac:dyDescent="0.3">
      <c r="B8" s="57">
        <v>46</v>
      </c>
      <c r="C8" s="57">
        <v>50</v>
      </c>
      <c r="D8" s="57">
        <v>5</v>
      </c>
      <c r="E8" s="58">
        <v>97.75</v>
      </c>
      <c r="F8" s="58">
        <v>14.194999999999999</v>
      </c>
      <c r="H8" s="62" t="s">
        <v>70</v>
      </c>
      <c r="I8" s="63"/>
      <c r="J8" s="64"/>
      <c r="K8" s="47"/>
      <c r="L8" s="47"/>
      <c r="M8" s="47"/>
      <c r="N8" s="47"/>
      <c r="O8" s="47"/>
      <c r="P8" s="47"/>
      <c r="Q8" s="47"/>
      <c r="R8" s="59"/>
    </row>
    <row r="9" spans="2:74" ht="19.95" customHeight="1" x14ac:dyDescent="0.3">
      <c r="B9" s="61">
        <v>51</v>
      </c>
      <c r="C9" s="61">
        <v>55</v>
      </c>
      <c r="D9" s="57">
        <v>6</v>
      </c>
      <c r="E9" s="58">
        <v>97.75</v>
      </c>
      <c r="F9" s="58">
        <v>14.45</v>
      </c>
      <c r="H9" s="61">
        <v>1</v>
      </c>
      <c r="I9" s="67">
        <v>1</v>
      </c>
      <c r="J9" s="68">
        <v>20000</v>
      </c>
    </row>
    <row r="10" spans="2:74" ht="19.95" customHeight="1" x14ac:dyDescent="0.3">
      <c r="B10" s="61">
        <v>56</v>
      </c>
      <c r="C10" s="61">
        <v>60</v>
      </c>
      <c r="D10" s="57">
        <v>7</v>
      </c>
      <c r="E10" s="58">
        <v>97.75</v>
      </c>
      <c r="F10" s="58">
        <v>15.469999999999999</v>
      </c>
      <c r="H10" s="61">
        <v>6</v>
      </c>
      <c r="I10" s="67">
        <v>1</v>
      </c>
      <c r="J10" s="68">
        <v>50000</v>
      </c>
    </row>
    <row r="11" spans="2:74" ht="19.95" customHeight="1" x14ac:dyDescent="0.3">
      <c r="B11" s="61">
        <v>61</v>
      </c>
      <c r="C11" s="61">
        <v>65</v>
      </c>
      <c r="D11" s="57">
        <v>8</v>
      </c>
      <c r="E11" s="58">
        <v>97.75</v>
      </c>
      <c r="F11" s="58">
        <v>17.935000000000002</v>
      </c>
      <c r="H11" s="61">
        <v>14</v>
      </c>
      <c r="I11" s="67">
        <v>1</v>
      </c>
      <c r="J11" s="68">
        <v>150000</v>
      </c>
    </row>
    <row r="12" spans="2:74" ht="19.95" customHeight="1" x14ac:dyDescent="0.3">
      <c r="B12" s="61">
        <v>66</v>
      </c>
      <c r="C12" s="61">
        <v>70</v>
      </c>
      <c r="D12" s="57">
        <v>9</v>
      </c>
      <c r="E12" s="58">
        <v>97.75</v>
      </c>
      <c r="F12" s="58">
        <v>26.605</v>
      </c>
      <c r="H12" s="61">
        <v>22</v>
      </c>
      <c r="I12" s="67">
        <v>0</v>
      </c>
      <c r="J12" s="68">
        <v>0</v>
      </c>
    </row>
    <row r="13" spans="2:74" ht="19.95" customHeight="1" x14ac:dyDescent="0.3">
      <c r="B13" s="61">
        <v>71</v>
      </c>
      <c r="C13" s="61">
        <v>75</v>
      </c>
      <c r="D13" s="57">
        <v>10</v>
      </c>
      <c r="E13" s="58">
        <v>97.75</v>
      </c>
      <c r="F13" s="58">
        <v>45.475000000000001</v>
      </c>
      <c r="H13" s="62" t="s">
        <v>74</v>
      </c>
      <c r="I13" s="63"/>
      <c r="J13" s="64"/>
    </row>
    <row r="14" spans="2:74" ht="19.95" hidden="1" customHeight="1" x14ac:dyDescent="0.3">
      <c r="B14" s="61">
        <v>76</v>
      </c>
      <c r="C14" s="61">
        <v>99999</v>
      </c>
      <c r="D14" s="57">
        <v>11</v>
      </c>
      <c r="E14" s="58">
        <v>0</v>
      </c>
      <c r="F14" s="58">
        <v>0</v>
      </c>
      <c r="H14" s="61">
        <v>1</v>
      </c>
      <c r="I14" s="67">
        <v>1</v>
      </c>
      <c r="J14" s="68">
        <v>20000</v>
      </c>
    </row>
    <row r="15" spans="2:74" ht="19.95" customHeight="1" x14ac:dyDescent="0.3">
      <c r="B15" s="47"/>
      <c r="C15" s="47"/>
      <c r="D15" s="46"/>
      <c r="E15" s="47"/>
      <c r="F15" s="59"/>
      <c r="H15" s="61">
        <v>6</v>
      </c>
      <c r="I15" s="67">
        <v>1</v>
      </c>
      <c r="J15" s="68">
        <v>50000</v>
      </c>
    </row>
    <row r="16" spans="2:74" ht="19.95" customHeight="1" x14ac:dyDescent="0.3">
      <c r="B16" s="48"/>
      <c r="C16" s="48"/>
      <c r="D16" s="48"/>
      <c r="H16" s="61">
        <v>14</v>
      </c>
      <c r="I16" s="67">
        <v>1</v>
      </c>
      <c r="J16" s="68">
        <v>75000</v>
      </c>
    </row>
    <row r="17" spans="2:10" ht="19.95" customHeight="1" x14ac:dyDescent="0.3">
      <c r="B17" s="49" t="s">
        <v>84</v>
      </c>
      <c r="C17" s="50"/>
      <c r="D17" s="50"/>
      <c r="E17" s="224" t="s">
        <v>78</v>
      </c>
      <c r="F17" s="224"/>
      <c r="H17" s="61">
        <v>22</v>
      </c>
      <c r="I17" s="67">
        <v>1</v>
      </c>
      <c r="J17" s="68">
        <v>75000</v>
      </c>
    </row>
    <row r="18" spans="2:10" ht="19.95" customHeight="1" x14ac:dyDescent="0.3">
      <c r="B18" s="52" t="s">
        <v>80</v>
      </c>
      <c r="C18" s="52" t="s">
        <v>81</v>
      </c>
      <c r="D18" s="52" t="s">
        <v>79</v>
      </c>
      <c r="E18" s="52" t="s">
        <v>88</v>
      </c>
      <c r="F18" s="52" t="s">
        <v>83</v>
      </c>
    </row>
    <row r="19" spans="2:10" ht="19.95" customHeight="1" x14ac:dyDescent="0.3">
      <c r="B19" s="57">
        <v>18</v>
      </c>
      <c r="C19" s="57">
        <v>25</v>
      </c>
      <c r="D19" s="57">
        <v>2</v>
      </c>
      <c r="E19" s="58">
        <v>0</v>
      </c>
      <c r="F19" s="58">
        <v>5.3549999999999995</v>
      </c>
    </row>
    <row r="20" spans="2:10" ht="19.95" customHeight="1" x14ac:dyDescent="0.3">
      <c r="B20" s="57">
        <v>26</v>
      </c>
      <c r="C20" s="57">
        <v>35</v>
      </c>
      <c r="D20" s="57">
        <v>3</v>
      </c>
      <c r="E20" s="58">
        <v>0</v>
      </c>
      <c r="F20" s="58">
        <v>9.69</v>
      </c>
    </row>
    <row r="21" spans="2:10" ht="19.95" customHeight="1" x14ac:dyDescent="0.3">
      <c r="B21" s="57">
        <v>36</v>
      </c>
      <c r="C21" s="57">
        <v>45</v>
      </c>
      <c r="D21" s="57">
        <v>4</v>
      </c>
      <c r="E21" s="58">
        <v>0</v>
      </c>
      <c r="F21" s="58">
        <v>13.8125</v>
      </c>
    </row>
    <row r="22" spans="2:10" ht="19.95" customHeight="1" x14ac:dyDescent="0.3">
      <c r="B22" s="57">
        <v>46</v>
      </c>
      <c r="C22" s="57">
        <v>50</v>
      </c>
      <c r="D22" s="57">
        <v>5</v>
      </c>
      <c r="E22" s="58">
        <v>0</v>
      </c>
      <c r="F22" s="58">
        <v>14.194999999999999</v>
      </c>
    </row>
    <row r="23" spans="2:10" ht="19.95" customHeight="1" x14ac:dyDescent="0.3">
      <c r="B23" s="61">
        <v>51</v>
      </c>
      <c r="C23" s="61">
        <v>55</v>
      </c>
      <c r="D23" s="57">
        <v>6</v>
      </c>
      <c r="E23" s="58">
        <v>0</v>
      </c>
      <c r="F23" s="58">
        <v>14.45</v>
      </c>
    </row>
    <row r="24" spans="2:10" ht="19.95" customHeight="1" x14ac:dyDescent="0.3">
      <c r="B24" s="61">
        <v>56</v>
      </c>
      <c r="C24" s="61">
        <v>60</v>
      </c>
      <c r="D24" s="57">
        <v>7</v>
      </c>
      <c r="E24" s="58">
        <v>0</v>
      </c>
      <c r="F24" s="58">
        <v>15.469999999999999</v>
      </c>
    </row>
    <row r="25" spans="2:10" ht="19.95" customHeight="1" x14ac:dyDescent="0.3">
      <c r="B25" s="61">
        <v>61</v>
      </c>
      <c r="C25" s="61">
        <v>65</v>
      </c>
      <c r="D25" s="57">
        <v>8</v>
      </c>
      <c r="E25" s="58">
        <v>0</v>
      </c>
      <c r="F25" s="58">
        <v>17.935000000000002</v>
      </c>
    </row>
    <row r="26" spans="2:10" ht="19.95" customHeight="1" x14ac:dyDescent="0.3">
      <c r="B26" s="61">
        <v>66</v>
      </c>
      <c r="C26" s="61">
        <v>70</v>
      </c>
      <c r="D26" s="57">
        <v>9</v>
      </c>
      <c r="E26" s="58">
        <v>0</v>
      </c>
      <c r="F26" s="58">
        <v>26.605</v>
      </c>
    </row>
    <row r="27" spans="2:10" ht="19.95" customHeight="1" x14ac:dyDescent="0.3">
      <c r="B27" s="61">
        <v>71</v>
      </c>
      <c r="C27" s="61">
        <v>75</v>
      </c>
      <c r="D27" s="57">
        <v>10</v>
      </c>
      <c r="E27" s="58">
        <v>0</v>
      </c>
      <c r="F27" s="58">
        <v>45.475000000000001</v>
      </c>
    </row>
    <row r="28" spans="2:10" ht="19.95" hidden="1" customHeight="1" x14ac:dyDescent="0.3">
      <c r="B28" s="61">
        <v>76</v>
      </c>
      <c r="C28" s="61">
        <v>99999</v>
      </c>
      <c r="D28" s="57">
        <v>11</v>
      </c>
      <c r="E28" s="58">
        <v>0</v>
      </c>
      <c r="F28" s="58">
        <v>0</v>
      </c>
    </row>
    <row r="29" spans="2:10" ht="19.95" customHeight="1" x14ac:dyDescent="0.3">
      <c r="B29" s="47"/>
      <c r="C29" s="47"/>
      <c r="D29" s="46"/>
      <c r="E29" s="47"/>
      <c r="F29" s="65"/>
    </row>
    <row r="30" spans="2:10" ht="19.95" customHeight="1" x14ac:dyDescent="0.3">
      <c r="B30" s="48"/>
      <c r="C30" s="48"/>
      <c r="D30" s="48"/>
      <c r="F30" s="65"/>
    </row>
    <row r="31" spans="2:10" ht="19.95" customHeight="1" x14ac:dyDescent="0.3">
      <c r="B31" s="49" t="s">
        <v>85</v>
      </c>
      <c r="C31" s="50"/>
      <c r="D31" s="50"/>
      <c r="E31" s="224" t="s">
        <v>78</v>
      </c>
      <c r="F31" s="224"/>
    </row>
    <row r="32" spans="2:10" ht="19.95" customHeight="1" x14ac:dyDescent="0.3">
      <c r="B32" s="52" t="s">
        <v>80</v>
      </c>
      <c r="C32" s="52" t="s">
        <v>81</v>
      </c>
      <c r="D32" s="52" t="s">
        <v>79</v>
      </c>
      <c r="E32" s="52" t="s">
        <v>88</v>
      </c>
      <c r="F32" s="52" t="s">
        <v>83</v>
      </c>
    </row>
    <row r="33" spans="2:7" ht="19.95" customHeight="1" x14ac:dyDescent="0.3">
      <c r="B33" s="57">
        <v>1</v>
      </c>
      <c r="C33" s="57">
        <v>20</v>
      </c>
      <c r="D33" s="57">
        <v>2</v>
      </c>
      <c r="E33" s="58">
        <v>0</v>
      </c>
      <c r="F33" s="58">
        <v>5.5249999999999995</v>
      </c>
      <c r="G33" s="60"/>
    </row>
    <row r="34" spans="2:7" ht="19.95" customHeight="1" x14ac:dyDescent="0.3">
      <c r="B34" s="57">
        <v>21</v>
      </c>
      <c r="C34" s="57">
        <v>25</v>
      </c>
      <c r="D34" s="57">
        <v>3</v>
      </c>
      <c r="E34" s="58">
        <v>0</v>
      </c>
      <c r="F34" s="58">
        <v>11.049999999999999</v>
      </c>
      <c r="G34" s="60"/>
    </row>
    <row r="35" spans="2:7" ht="19.95" customHeight="1" x14ac:dyDescent="0.3">
      <c r="B35" s="57">
        <v>26</v>
      </c>
      <c r="C35" s="57">
        <v>35</v>
      </c>
      <c r="D35" s="57">
        <v>4</v>
      </c>
      <c r="E35" s="58">
        <v>0</v>
      </c>
      <c r="F35" s="58">
        <v>21.25</v>
      </c>
      <c r="G35" s="60"/>
    </row>
    <row r="36" spans="2:7" ht="19.95" customHeight="1" x14ac:dyDescent="0.3">
      <c r="B36" s="57">
        <v>36</v>
      </c>
      <c r="C36" s="57">
        <v>45</v>
      </c>
      <c r="D36" s="57">
        <v>5</v>
      </c>
      <c r="E36" s="58">
        <v>0</v>
      </c>
      <c r="F36" s="58">
        <v>29.75</v>
      </c>
      <c r="G36" s="60"/>
    </row>
    <row r="37" spans="2:7" ht="19.95" customHeight="1" x14ac:dyDescent="0.3">
      <c r="B37" s="57">
        <v>46</v>
      </c>
      <c r="C37" s="57">
        <v>50</v>
      </c>
      <c r="D37" s="57">
        <v>6</v>
      </c>
      <c r="E37" s="58">
        <v>0</v>
      </c>
      <c r="F37" s="58">
        <v>30.599999999999998</v>
      </c>
      <c r="G37" s="60"/>
    </row>
    <row r="38" spans="2:7" ht="19.95" customHeight="1" x14ac:dyDescent="0.3">
      <c r="B38" s="61">
        <v>51</v>
      </c>
      <c r="C38" s="61">
        <v>55</v>
      </c>
      <c r="D38" s="57">
        <v>7</v>
      </c>
      <c r="E38" s="58">
        <v>0</v>
      </c>
      <c r="F38" s="58">
        <v>33.15</v>
      </c>
      <c r="G38" s="60"/>
    </row>
    <row r="39" spans="2:7" ht="19.95" customHeight="1" x14ac:dyDescent="0.3">
      <c r="B39" s="61">
        <v>56</v>
      </c>
      <c r="C39" s="61">
        <v>60</v>
      </c>
      <c r="D39" s="57">
        <v>8</v>
      </c>
      <c r="E39" s="58">
        <v>0</v>
      </c>
      <c r="F39" s="58">
        <v>40.799999999999997</v>
      </c>
      <c r="G39" s="60"/>
    </row>
    <row r="40" spans="2:7" ht="19.95" customHeight="1" x14ac:dyDescent="0.3">
      <c r="B40" s="61">
        <v>61</v>
      </c>
      <c r="C40" s="61">
        <v>65</v>
      </c>
      <c r="D40" s="57">
        <v>9</v>
      </c>
      <c r="E40" s="58">
        <v>0</v>
      </c>
      <c r="F40" s="58">
        <v>59.5</v>
      </c>
      <c r="G40" s="60"/>
    </row>
    <row r="41" spans="2:7" ht="19.95" customHeight="1" x14ac:dyDescent="0.3">
      <c r="B41" s="61">
        <v>66</v>
      </c>
      <c r="C41" s="61">
        <v>70</v>
      </c>
      <c r="D41" s="57">
        <v>10</v>
      </c>
      <c r="E41" s="58">
        <v>0</v>
      </c>
      <c r="F41" s="58">
        <v>90.95</v>
      </c>
      <c r="G41" s="60"/>
    </row>
    <row r="42" spans="2:7" ht="19.95" customHeight="1" x14ac:dyDescent="0.3">
      <c r="B42" s="61">
        <v>71</v>
      </c>
      <c r="C42" s="61">
        <v>75</v>
      </c>
      <c r="D42" s="57">
        <v>11</v>
      </c>
      <c r="E42" s="58">
        <v>0</v>
      </c>
      <c r="F42" s="58">
        <v>144.5</v>
      </c>
      <c r="G42" s="60"/>
    </row>
    <row r="43" spans="2:7" ht="19.95" hidden="1" customHeight="1" x14ac:dyDescent="0.3">
      <c r="B43" s="61">
        <v>76</v>
      </c>
      <c r="C43" s="61">
        <v>99999</v>
      </c>
      <c r="D43" s="57">
        <v>12</v>
      </c>
      <c r="E43" s="58">
        <v>0</v>
      </c>
      <c r="F43" s="58">
        <v>0</v>
      </c>
      <c r="G43" s="60"/>
    </row>
    <row r="44" spans="2:7" ht="19.95" customHeight="1" x14ac:dyDescent="0.3"/>
    <row r="45" spans="2:7" ht="19.95" customHeight="1" x14ac:dyDescent="0.3"/>
    <row r="46" spans="2:7" ht="19.95" customHeight="1" x14ac:dyDescent="0.3">
      <c r="B46" s="49" t="s">
        <v>86</v>
      </c>
      <c r="C46" s="50"/>
      <c r="D46" s="50"/>
      <c r="E46" s="224" t="s">
        <v>78</v>
      </c>
      <c r="F46" s="224"/>
    </row>
    <row r="47" spans="2:7" ht="19.95" customHeight="1" x14ac:dyDescent="0.3">
      <c r="B47" s="52" t="s">
        <v>80</v>
      </c>
      <c r="C47" s="52" t="s">
        <v>81</v>
      </c>
      <c r="D47" s="52" t="s">
        <v>79</v>
      </c>
      <c r="E47" s="52" t="s">
        <v>88</v>
      </c>
      <c r="F47" s="52" t="s">
        <v>83</v>
      </c>
    </row>
    <row r="48" spans="2:7" ht="19.95" customHeight="1" x14ac:dyDescent="0.3">
      <c r="B48" s="57">
        <v>18</v>
      </c>
      <c r="C48" s="57">
        <v>25</v>
      </c>
      <c r="D48" s="57">
        <v>2</v>
      </c>
      <c r="E48" s="58">
        <v>0</v>
      </c>
      <c r="F48" s="58">
        <v>11.049999999999999</v>
      </c>
    </row>
    <row r="49" spans="2:7" ht="19.95" customHeight="1" x14ac:dyDescent="0.3">
      <c r="B49" s="57">
        <v>26</v>
      </c>
      <c r="C49" s="57">
        <v>30</v>
      </c>
      <c r="D49" s="57">
        <v>3</v>
      </c>
      <c r="E49" s="58">
        <v>0</v>
      </c>
      <c r="F49" s="58">
        <v>17</v>
      </c>
    </row>
    <row r="50" spans="2:7" ht="19.95" customHeight="1" x14ac:dyDescent="0.3">
      <c r="B50" s="57">
        <v>31</v>
      </c>
      <c r="C50" s="57">
        <v>35</v>
      </c>
      <c r="D50" s="57">
        <v>4</v>
      </c>
      <c r="E50" s="58">
        <v>0</v>
      </c>
      <c r="F50" s="58">
        <v>20.399999999999999</v>
      </c>
    </row>
    <row r="51" spans="2:7" ht="19.95" customHeight="1" x14ac:dyDescent="0.3">
      <c r="B51" s="57">
        <v>36</v>
      </c>
      <c r="C51" s="57">
        <v>45</v>
      </c>
      <c r="D51" s="57">
        <v>5</v>
      </c>
      <c r="E51" s="58">
        <v>0</v>
      </c>
      <c r="F51" s="58">
        <v>23.8</v>
      </c>
      <c r="G51" s="60"/>
    </row>
    <row r="52" spans="2:7" ht="19.95" customHeight="1" x14ac:dyDescent="0.3">
      <c r="B52" s="57">
        <v>46</v>
      </c>
      <c r="C52" s="57">
        <v>55</v>
      </c>
      <c r="D52" s="57">
        <v>6</v>
      </c>
      <c r="E52" s="58">
        <v>0</v>
      </c>
      <c r="F52" s="58">
        <v>24.65</v>
      </c>
      <c r="G52" s="60"/>
    </row>
    <row r="53" spans="2:7" ht="19.95" customHeight="1" x14ac:dyDescent="0.3">
      <c r="B53" s="61">
        <v>56</v>
      </c>
      <c r="C53" s="61">
        <v>60</v>
      </c>
      <c r="D53" s="57">
        <v>7</v>
      </c>
      <c r="E53" s="58">
        <v>0</v>
      </c>
      <c r="F53" s="58">
        <v>33.15</v>
      </c>
      <c r="G53" s="60"/>
    </row>
    <row r="54" spans="2:7" ht="19.95" customHeight="1" x14ac:dyDescent="0.3">
      <c r="B54" s="61">
        <v>61</v>
      </c>
      <c r="C54" s="61">
        <v>65</v>
      </c>
      <c r="D54" s="57">
        <v>8</v>
      </c>
      <c r="E54" s="58">
        <v>0</v>
      </c>
      <c r="F54" s="58">
        <v>56.1</v>
      </c>
      <c r="G54" s="60"/>
    </row>
    <row r="55" spans="2:7" ht="19.95" customHeight="1" x14ac:dyDescent="0.3">
      <c r="B55" s="61">
        <v>66</v>
      </c>
      <c r="C55" s="61">
        <v>70</v>
      </c>
      <c r="D55" s="57">
        <v>9</v>
      </c>
      <c r="E55" s="58">
        <v>0</v>
      </c>
      <c r="F55" s="58">
        <v>91.8</v>
      </c>
      <c r="G55" s="60"/>
    </row>
    <row r="56" spans="2:7" ht="19.95" customHeight="1" x14ac:dyDescent="0.3">
      <c r="B56" s="61">
        <v>71</v>
      </c>
      <c r="C56" s="61">
        <v>75</v>
      </c>
      <c r="D56" s="57">
        <v>10</v>
      </c>
      <c r="E56" s="58">
        <v>0</v>
      </c>
      <c r="F56" s="58">
        <v>142.79999999999998</v>
      </c>
      <c r="G56" s="60"/>
    </row>
    <row r="57" spans="2:7" ht="19.95" hidden="1" customHeight="1" x14ac:dyDescent="0.3">
      <c r="B57" s="61">
        <v>76</v>
      </c>
      <c r="C57" s="61">
        <v>99999</v>
      </c>
      <c r="D57" s="57">
        <v>11</v>
      </c>
      <c r="E57" s="58">
        <v>0</v>
      </c>
      <c r="F57" s="58">
        <v>0</v>
      </c>
      <c r="G57" s="60"/>
    </row>
    <row r="58" spans="2:7" ht="19.95" customHeight="1" x14ac:dyDescent="0.3">
      <c r="B58" s="47"/>
      <c r="C58" s="47"/>
      <c r="D58" s="46"/>
      <c r="G58" s="60"/>
    </row>
    <row r="59" spans="2:7" ht="19.95" customHeight="1" x14ac:dyDescent="0.3"/>
    <row r="60" spans="2:7" ht="19.95" customHeight="1" x14ac:dyDescent="0.3">
      <c r="B60" s="49" t="s">
        <v>87</v>
      </c>
      <c r="C60" s="50"/>
      <c r="D60" s="50"/>
      <c r="E60" s="224" t="s">
        <v>78</v>
      </c>
      <c r="F60" s="224"/>
    </row>
    <row r="61" spans="2:7" ht="19.95" customHeight="1" x14ac:dyDescent="0.3">
      <c r="B61" s="52" t="s">
        <v>80</v>
      </c>
      <c r="C61" s="52" t="s">
        <v>81</v>
      </c>
      <c r="D61" s="52" t="s">
        <v>79</v>
      </c>
      <c r="E61" s="52" t="s">
        <v>88</v>
      </c>
      <c r="F61" s="52" t="s">
        <v>83</v>
      </c>
    </row>
    <row r="62" spans="2:7" ht="19.95" customHeight="1" x14ac:dyDescent="0.3">
      <c r="B62" s="57">
        <v>1</v>
      </c>
      <c r="C62" s="57">
        <f>Child_OverAgeRange-1</f>
        <v>21</v>
      </c>
      <c r="D62" s="57">
        <v>2</v>
      </c>
      <c r="E62" s="58">
        <v>0</v>
      </c>
      <c r="F62" s="58">
        <v>6.9699999999999989</v>
      </c>
      <c r="G62" s="60"/>
    </row>
    <row r="63" spans="2:7" ht="19.95" customHeight="1" x14ac:dyDescent="0.3"/>
  </sheetData>
  <sheetProtection algorithmName="SHA-512" hashValue="O67c5lMltF48Q3EgN5RJ2cmYDm7ajQEEadsLo4kCqGtDTH5oX0vj6Z2g0GIqf2rqYEKUEiFGCQEINDUJOfqylw==" saltValue="6EM7pl7Xr4o8fdsf8CVpyg==" spinCount="100000" sheet="1" objects="1" scenarios="1"/>
  <mergeCells count="6">
    <mergeCell ref="E60:F60"/>
    <mergeCell ref="I2:J2"/>
    <mergeCell ref="E3:F3"/>
    <mergeCell ref="E17:F17"/>
    <mergeCell ref="E31:F31"/>
    <mergeCell ref="E46:F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DF3B-7EA0-4CF4-A6F2-839B790264BD}">
  <sheetPr codeName="Sheet6">
    <tabColor rgb="FFC00000"/>
  </sheetPr>
  <dimension ref="A1:AB71"/>
  <sheetViews>
    <sheetView topLeftCell="A22" zoomScale="80" zoomScaleNormal="80" workbookViewId="0">
      <selection activeCell="I41" sqref="I41:K45"/>
    </sheetView>
  </sheetViews>
  <sheetFormatPr defaultColWidth="0" defaultRowHeight="0" customHeight="1" zeroHeight="1" x14ac:dyDescent="0.3"/>
  <cols>
    <col min="1" max="1" width="5.77734375" style="115" customWidth="1"/>
    <col min="2" max="2" width="2.77734375" style="115" customWidth="1"/>
    <col min="3" max="3" width="5.33203125" style="114" customWidth="1"/>
    <col min="4" max="4" width="30.77734375" style="115" customWidth="1"/>
    <col min="5" max="8" width="25.77734375" style="115" customWidth="1"/>
    <col min="9" max="10" width="15.77734375" style="115" customWidth="1"/>
    <col min="11" max="11" width="20.77734375" style="115" customWidth="1"/>
    <col min="12" max="12" width="2.77734375" style="115" customWidth="1"/>
    <col min="13" max="13" width="5.77734375" style="115" customWidth="1"/>
    <col min="14" max="26" width="8.6640625" style="115" hidden="1" customWidth="1"/>
    <col min="27" max="28" width="11.6640625" style="115" hidden="1" customWidth="1"/>
    <col min="29" max="16384" width="8.6640625" style="115" hidden="1"/>
  </cols>
  <sheetData>
    <row r="1" spans="2:13" ht="25.05" customHeight="1" thickBot="1" x14ac:dyDescent="0.35">
      <c r="M1" s="131"/>
    </row>
    <row r="2" spans="2:13" ht="25.05" customHeight="1" thickBot="1" x14ac:dyDescent="0.35">
      <c r="B2" s="132"/>
      <c r="C2" s="120"/>
      <c r="D2" s="133"/>
      <c r="E2" s="133"/>
      <c r="F2" s="133"/>
      <c r="G2" s="133"/>
      <c r="H2" s="133"/>
      <c r="I2" s="133"/>
      <c r="J2" s="133"/>
      <c r="K2" s="133"/>
      <c r="L2" s="134"/>
    </row>
    <row r="3" spans="2:13" ht="45" customHeight="1" thickBot="1" x14ac:dyDescent="0.35">
      <c r="B3" s="113"/>
      <c r="C3" s="227" t="s">
        <v>229</v>
      </c>
      <c r="D3" s="228"/>
      <c r="E3" s="228"/>
      <c r="F3" s="228"/>
      <c r="G3" s="228"/>
      <c r="H3" s="228"/>
      <c r="I3" s="228"/>
      <c r="J3" s="228"/>
      <c r="K3" s="229"/>
      <c r="L3" s="116"/>
    </row>
    <row r="4" spans="2:13" ht="25.05" customHeight="1" thickBot="1" x14ac:dyDescent="0.35">
      <c r="B4" s="113"/>
      <c r="L4" s="116"/>
    </row>
    <row r="5" spans="2:13" ht="25.05" customHeight="1" thickBot="1" x14ac:dyDescent="0.35">
      <c r="B5" s="113"/>
      <c r="C5" s="117"/>
      <c r="D5" s="230" t="s">
        <v>193</v>
      </c>
      <c r="E5" s="230"/>
      <c r="F5" s="230"/>
      <c r="G5" s="230"/>
      <c r="H5" s="230"/>
      <c r="I5" s="230"/>
      <c r="J5" s="230"/>
      <c r="K5" s="231"/>
      <c r="L5" s="116"/>
    </row>
    <row r="6" spans="2:13" ht="25.05" customHeight="1" thickBot="1" x14ac:dyDescent="0.35">
      <c r="B6" s="113"/>
      <c r="C6" s="118">
        <v>1</v>
      </c>
      <c r="D6" s="111" t="s">
        <v>194</v>
      </c>
      <c r="E6" s="119"/>
      <c r="F6" s="119"/>
      <c r="G6" s="119"/>
      <c r="H6" s="119"/>
      <c r="I6" s="243" t="e" vm="3">
        <v>#VALUE!</v>
      </c>
      <c r="J6" s="243"/>
      <c r="K6" s="244"/>
      <c r="L6" s="116"/>
    </row>
    <row r="7" spans="2:13" ht="30" customHeight="1" x14ac:dyDescent="0.3">
      <c r="B7" s="113"/>
      <c r="C7" s="118">
        <v>2</v>
      </c>
      <c r="D7" s="112" t="s">
        <v>195</v>
      </c>
      <c r="E7" s="242" t="s">
        <v>9</v>
      </c>
      <c r="F7" s="242"/>
      <c r="G7" s="242" t="s">
        <v>196</v>
      </c>
      <c r="H7" s="247"/>
      <c r="I7" s="245"/>
      <c r="J7" s="245"/>
      <c r="K7" s="246"/>
      <c r="L7" s="116"/>
    </row>
    <row r="8" spans="2:13" ht="40.049999999999997" customHeight="1" x14ac:dyDescent="0.3">
      <c r="B8" s="113"/>
      <c r="C8" s="118"/>
      <c r="D8" s="232" t="s">
        <v>197</v>
      </c>
      <c r="E8" s="241" t="s">
        <v>57</v>
      </c>
      <c r="F8" s="241"/>
      <c r="G8" s="248">
        <v>150000</v>
      </c>
      <c r="H8" s="249"/>
      <c r="I8" s="245"/>
      <c r="J8" s="245"/>
      <c r="K8" s="246"/>
      <c r="L8" s="116"/>
    </row>
    <row r="9" spans="2:13" ht="40.049999999999997" customHeight="1" x14ac:dyDescent="0.3">
      <c r="B9" s="113"/>
      <c r="C9" s="118"/>
      <c r="D9" s="233"/>
      <c r="E9" s="241" t="s">
        <v>67</v>
      </c>
      <c r="F9" s="241"/>
      <c r="G9" s="235" t="s">
        <v>232</v>
      </c>
      <c r="H9" s="236"/>
      <c r="K9" s="116"/>
      <c r="L9" s="116"/>
    </row>
    <row r="10" spans="2:13" ht="40.049999999999997" customHeight="1" x14ac:dyDescent="0.3">
      <c r="B10" s="113"/>
      <c r="C10" s="118"/>
      <c r="D10" s="233"/>
      <c r="E10" s="241" t="s">
        <v>230</v>
      </c>
      <c r="F10" s="241"/>
      <c r="G10" s="237" t="s">
        <v>234</v>
      </c>
      <c r="H10" s="238"/>
      <c r="K10" s="116"/>
      <c r="L10" s="116"/>
    </row>
    <row r="11" spans="2:13" ht="40.049999999999997" customHeight="1" x14ac:dyDescent="0.3">
      <c r="B11" s="113"/>
      <c r="C11" s="118"/>
      <c r="D11" s="233"/>
      <c r="E11" s="241" t="s">
        <v>231</v>
      </c>
      <c r="F11" s="241"/>
      <c r="G11" s="237" t="s">
        <v>233</v>
      </c>
      <c r="H11" s="238"/>
      <c r="K11" s="116"/>
      <c r="L11" s="116"/>
    </row>
    <row r="12" spans="2:13" ht="40.049999999999997" customHeight="1" x14ac:dyDescent="0.3">
      <c r="B12" s="113"/>
      <c r="C12" s="118"/>
      <c r="D12" s="233"/>
      <c r="E12" s="241" t="s">
        <v>235</v>
      </c>
      <c r="F12" s="241"/>
      <c r="G12" s="237" t="s">
        <v>232</v>
      </c>
      <c r="H12" s="238"/>
      <c r="K12" s="116"/>
      <c r="L12" s="116"/>
    </row>
    <row r="13" spans="2:13" ht="40.049999999999997" customHeight="1" x14ac:dyDescent="0.3">
      <c r="B13" s="113"/>
      <c r="C13" s="118"/>
      <c r="D13" s="233"/>
      <c r="E13" s="241" t="s">
        <v>237</v>
      </c>
      <c r="F13" s="241"/>
      <c r="G13" s="237" t="s">
        <v>236</v>
      </c>
      <c r="H13" s="238"/>
      <c r="K13" s="116"/>
      <c r="L13" s="116"/>
    </row>
    <row r="14" spans="2:13" ht="40.049999999999997" customHeight="1" x14ac:dyDescent="0.3">
      <c r="B14" s="113"/>
      <c r="C14" s="118"/>
      <c r="D14" s="233"/>
      <c r="E14" s="241" t="s">
        <v>198</v>
      </c>
      <c r="F14" s="241"/>
      <c r="G14" s="237" t="s">
        <v>236</v>
      </c>
      <c r="H14" s="238"/>
      <c r="K14" s="116"/>
      <c r="L14" s="116"/>
    </row>
    <row r="15" spans="2:13" ht="60" customHeight="1" thickBot="1" x14ac:dyDescent="0.35">
      <c r="B15" s="113"/>
      <c r="C15" s="118"/>
      <c r="D15" s="234"/>
      <c r="E15" s="226" t="s">
        <v>199</v>
      </c>
      <c r="F15" s="226"/>
      <c r="G15" s="239" t="s">
        <v>267</v>
      </c>
      <c r="H15" s="240"/>
      <c r="K15" s="116"/>
      <c r="L15" s="116"/>
    </row>
    <row r="16" spans="2:13" ht="25.05" customHeight="1" x14ac:dyDescent="0.3">
      <c r="B16" s="113"/>
      <c r="C16" s="118">
        <v>3</v>
      </c>
      <c r="D16" s="111" t="s">
        <v>238</v>
      </c>
      <c r="E16" s="119"/>
      <c r="F16" s="119"/>
      <c r="G16" s="114"/>
      <c r="H16" s="114"/>
      <c r="K16" s="116"/>
      <c r="L16" s="116"/>
    </row>
    <row r="17" spans="2:12" ht="25.05" customHeight="1" x14ac:dyDescent="0.3">
      <c r="B17" s="113"/>
      <c r="C17" s="118">
        <v>4</v>
      </c>
      <c r="D17" s="111" t="s">
        <v>239</v>
      </c>
      <c r="E17" s="119"/>
      <c r="F17" s="119"/>
      <c r="G17" s="114"/>
      <c r="H17" s="114"/>
      <c r="K17" s="116"/>
      <c r="L17" s="116"/>
    </row>
    <row r="18" spans="2:12" ht="25.05" customHeight="1" x14ac:dyDescent="0.3">
      <c r="B18" s="113"/>
      <c r="C18" s="118">
        <v>5</v>
      </c>
      <c r="D18" s="111" t="s">
        <v>265</v>
      </c>
      <c r="E18" s="119"/>
      <c r="F18" s="119"/>
      <c r="G18" s="114"/>
      <c r="H18" s="114"/>
      <c r="K18" s="116"/>
      <c r="L18" s="116"/>
    </row>
    <row r="19" spans="2:12" ht="25.05" customHeight="1" x14ac:dyDescent="0.3">
      <c r="B19" s="113"/>
      <c r="C19" s="118"/>
      <c r="D19" s="111" t="s">
        <v>266</v>
      </c>
      <c r="E19" s="119"/>
      <c r="F19" s="119"/>
      <c r="G19" s="114"/>
      <c r="H19" s="114"/>
      <c r="K19" s="116"/>
      <c r="L19" s="116"/>
    </row>
    <row r="20" spans="2:12" ht="25.05" customHeight="1" x14ac:dyDescent="0.3">
      <c r="B20" s="113"/>
      <c r="C20" s="118">
        <v>6</v>
      </c>
      <c r="D20" s="285" t="s">
        <v>200</v>
      </c>
      <c r="E20" s="256" t="s">
        <v>255</v>
      </c>
      <c r="F20" s="256"/>
      <c r="G20" s="121" t="s">
        <v>201</v>
      </c>
      <c r="K20" s="122"/>
      <c r="L20" s="116"/>
    </row>
    <row r="21" spans="2:12" ht="25.05" customHeight="1" x14ac:dyDescent="0.3">
      <c r="B21" s="113"/>
      <c r="C21" s="118"/>
      <c r="D21" s="285"/>
      <c r="E21" s="257" t="s">
        <v>202</v>
      </c>
      <c r="F21" s="257"/>
      <c r="G21" s="79"/>
      <c r="K21" s="122"/>
      <c r="L21" s="116"/>
    </row>
    <row r="22" spans="2:12" ht="25.05" customHeight="1" x14ac:dyDescent="0.3">
      <c r="B22" s="113"/>
      <c r="C22" s="123"/>
      <c r="D22" s="285"/>
      <c r="E22" s="258" t="s">
        <v>254</v>
      </c>
      <c r="F22" s="258"/>
      <c r="G22" s="114"/>
      <c r="H22" s="114"/>
      <c r="I22" s="114"/>
      <c r="K22" s="122"/>
      <c r="L22" s="116"/>
    </row>
    <row r="23" spans="2:12" ht="25.05" customHeight="1" x14ac:dyDescent="0.3">
      <c r="B23" s="113"/>
      <c r="C23" s="123"/>
      <c r="D23" s="285"/>
      <c r="E23" s="259" t="s">
        <v>256</v>
      </c>
      <c r="F23" s="259"/>
      <c r="G23" s="114"/>
      <c r="H23" s="114"/>
      <c r="I23" s="114"/>
      <c r="K23" s="122"/>
      <c r="L23" s="116"/>
    </row>
    <row r="24" spans="2:12" ht="25.05" customHeight="1" x14ac:dyDescent="0.3">
      <c r="B24" s="113"/>
      <c r="C24" s="123"/>
      <c r="D24" s="285"/>
      <c r="E24" s="260" t="s">
        <v>253</v>
      </c>
      <c r="F24" s="260"/>
      <c r="G24" s="114"/>
      <c r="H24" s="114"/>
      <c r="I24" s="114"/>
      <c r="K24" s="122"/>
      <c r="L24" s="116"/>
    </row>
    <row r="25" spans="2:12" ht="25.05" customHeight="1" thickBot="1" x14ac:dyDescent="0.35">
      <c r="B25" s="113"/>
      <c r="C25" s="124"/>
      <c r="D25" s="125"/>
      <c r="E25" s="126"/>
      <c r="F25" s="126"/>
      <c r="G25" s="126"/>
      <c r="H25" s="126"/>
      <c r="I25" s="126"/>
      <c r="J25" s="127"/>
      <c r="K25" s="128"/>
      <c r="L25" s="116"/>
    </row>
    <row r="26" spans="2:12" ht="25.05" customHeight="1" thickBot="1" x14ac:dyDescent="0.35">
      <c r="B26" s="113"/>
      <c r="L26" s="116"/>
    </row>
    <row r="27" spans="2:12" ht="25.05" customHeight="1" x14ac:dyDescent="0.3">
      <c r="B27" s="113"/>
      <c r="D27" s="129" t="s">
        <v>203</v>
      </c>
      <c r="E27" s="130"/>
      <c r="F27" s="130"/>
      <c r="G27" s="130"/>
      <c r="H27" s="130"/>
      <c r="I27" s="130"/>
      <c r="J27" s="130"/>
      <c r="K27" s="130"/>
      <c r="L27" s="116"/>
    </row>
    <row r="28" spans="2:12" ht="25.05" customHeight="1" thickBot="1" x14ac:dyDescent="0.35">
      <c r="B28" s="113"/>
      <c r="D28" s="191">
        <v>46113</v>
      </c>
      <c r="E28" s="130"/>
      <c r="F28" s="130"/>
      <c r="G28" s="130"/>
      <c r="H28" s="130"/>
      <c r="I28" s="130"/>
      <c r="J28" s="130"/>
      <c r="K28" s="130"/>
      <c r="L28" s="116"/>
    </row>
    <row r="29" spans="2:12" ht="25.05" customHeight="1" thickBot="1" x14ac:dyDescent="0.35">
      <c r="B29" s="113"/>
      <c r="D29" s="135"/>
      <c r="E29" s="130"/>
      <c r="F29" s="130"/>
      <c r="G29" s="130"/>
      <c r="H29" s="130"/>
      <c r="I29" s="130"/>
      <c r="J29" s="130"/>
      <c r="K29" s="130"/>
      <c r="L29" s="116"/>
    </row>
    <row r="30" spans="2:12" ht="25.05" customHeight="1" x14ac:dyDescent="0.3">
      <c r="B30" s="113"/>
      <c r="D30" s="270" t="s">
        <v>43</v>
      </c>
      <c r="E30" s="271"/>
      <c r="F30" s="272"/>
      <c r="G30" s="136"/>
      <c r="H30" s="282" t="s">
        <v>264</v>
      </c>
      <c r="I30" s="283"/>
      <c r="J30" s="283"/>
      <c r="K30" s="284"/>
      <c r="L30" s="116"/>
    </row>
    <row r="31" spans="2:12" ht="25.05" customHeight="1" x14ac:dyDescent="0.3">
      <c r="B31" s="113"/>
      <c r="D31" s="137" t="s">
        <v>206</v>
      </c>
      <c r="E31" s="268" t="s">
        <v>103</v>
      </c>
      <c r="F31" s="269"/>
      <c r="G31" s="130"/>
      <c r="H31" s="261" t="s">
        <v>262</v>
      </c>
      <c r="I31" s="262"/>
      <c r="J31" s="262"/>
      <c r="K31" s="90">
        <v>1.53</v>
      </c>
      <c r="L31" s="116"/>
    </row>
    <row r="32" spans="2:12" ht="25.05" customHeight="1" thickBot="1" x14ac:dyDescent="0.35">
      <c r="B32" s="113"/>
      <c r="D32" s="138" t="s">
        <v>205</v>
      </c>
      <c r="E32" s="266" t="s">
        <v>240</v>
      </c>
      <c r="F32" s="267"/>
      <c r="G32" s="130"/>
      <c r="H32" s="263" t="s">
        <v>282</v>
      </c>
      <c r="I32" s="264"/>
      <c r="J32" s="265"/>
      <c r="K32" s="90">
        <v>7.6</v>
      </c>
      <c r="L32" s="116"/>
    </row>
    <row r="33" spans="2:15" ht="27.6" customHeight="1" thickBot="1" x14ac:dyDescent="0.35">
      <c r="B33" s="113"/>
      <c r="D33" s="130"/>
      <c r="E33" s="130"/>
      <c r="F33" s="130"/>
      <c r="G33" s="130"/>
      <c r="H33" s="250" t="s">
        <v>283</v>
      </c>
      <c r="I33" s="251"/>
      <c r="J33" s="251"/>
      <c r="K33" s="252"/>
      <c r="L33" s="116"/>
    </row>
    <row r="34" spans="2:15" ht="25.05" customHeight="1" thickBot="1" x14ac:dyDescent="0.35">
      <c r="B34" s="113"/>
      <c r="D34" s="130"/>
      <c r="E34" s="130"/>
      <c r="F34" s="130"/>
      <c r="G34" s="130"/>
      <c r="H34" s="139"/>
      <c r="I34" s="130"/>
      <c r="J34" s="130"/>
      <c r="K34" s="130"/>
      <c r="L34" s="116"/>
    </row>
    <row r="35" spans="2:15" ht="34.950000000000003" customHeight="1" thickBot="1" x14ac:dyDescent="0.35">
      <c r="B35" s="113"/>
      <c r="D35" s="140" t="s">
        <v>263</v>
      </c>
      <c r="E35" s="141" t="s">
        <v>207</v>
      </c>
      <c r="F35" s="141" t="s">
        <v>208</v>
      </c>
      <c r="G35" s="141" t="s">
        <v>252</v>
      </c>
      <c r="H35" s="141" t="s">
        <v>21</v>
      </c>
      <c r="I35" s="141" t="s">
        <v>209</v>
      </c>
      <c r="J35" s="141" t="s">
        <v>249</v>
      </c>
      <c r="K35" s="142" t="s">
        <v>210</v>
      </c>
      <c r="L35" s="116"/>
    </row>
    <row r="36" spans="2:15" ht="25.05" customHeight="1" x14ac:dyDescent="0.3">
      <c r="B36" s="113"/>
      <c r="D36" s="143" t="s">
        <v>57</v>
      </c>
      <c r="E36" s="104">
        <v>34678</v>
      </c>
      <c r="F36" s="192">
        <v>32</v>
      </c>
      <c r="G36" s="91">
        <f>IF(OR(F36="",F36=0),0,150000)</f>
        <v>150000</v>
      </c>
      <c r="H36" s="106">
        <v>150000</v>
      </c>
      <c r="I36" s="92">
        <f>IFERROR(VLOOKUP($F36,Rate_MM,4),0)</f>
        <v>97.75</v>
      </c>
      <c r="J36" s="93">
        <f>IFERROR(VLOOKUP($F36,Rate_MM,5),0)</f>
        <v>9.69</v>
      </c>
      <c r="K36" s="94">
        <f>IF(H36&lt;=G36,IFERROR(I36+H36/10000*J36,0),0)</f>
        <v>243.1</v>
      </c>
      <c r="L36" s="116"/>
    </row>
    <row r="37" spans="2:15" ht="25.05" customHeight="1" thickBot="1" x14ac:dyDescent="0.35">
      <c r="B37" s="113"/>
      <c r="D37" s="144" t="s">
        <v>67</v>
      </c>
      <c r="E37" s="105" t="s">
        <v>285</v>
      </c>
      <c r="F37" s="193">
        <v>31</v>
      </c>
      <c r="G37" s="95">
        <f>IF(OR(F37="",F37=0),0,IF($H$36="",0,$H$36))</f>
        <v>150000</v>
      </c>
      <c r="H37" s="107">
        <v>150000</v>
      </c>
      <c r="I37" s="96" t="s">
        <v>214</v>
      </c>
      <c r="J37" s="97">
        <f>IFERROR(VLOOKUP($F37,Rate_SP,5),0)</f>
        <v>9.69</v>
      </c>
      <c r="K37" s="98">
        <f>IF(H37&lt;=G37,IFERROR(H37/10000*J37,0),0)</f>
        <v>145.35</v>
      </c>
      <c r="L37" s="116"/>
    </row>
    <row r="38" spans="2:15" ht="25.05" customHeight="1" thickBot="1" x14ac:dyDescent="0.35">
      <c r="B38" s="113"/>
      <c r="D38" s="130"/>
      <c r="E38" s="130"/>
      <c r="F38" s="130"/>
      <c r="G38" s="130"/>
      <c r="H38" s="130"/>
      <c r="I38" s="130"/>
      <c r="J38" s="130"/>
      <c r="K38" s="130"/>
      <c r="L38" s="116"/>
    </row>
    <row r="39" spans="2:15" ht="34.950000000000003" customHeight="1" thickBot="1" x14ac:dyDescent="0.35">
      <c r="B39" s="113"/>
      <c r="D39" s="145" t="s">
        <v>242</v>
      </c>
      <c r="E39" s="141" t="s">
        <v>207</v>
      </c>
      <c r="F39" s="141" t="s">
        <v>250</v>
      </c>
      <c r="G39" s="141" t="s">
        <v>252</v>
      </c>
      <c r="H39" s="141" t="s">
        <v>21</v>
      </c>
      <c r="I39" s="141" t="s">
        <v>209</v>
      </c>
      <c r="J39" s="141" t="s">
        <v>249</v>
      </c>
      <c r="K39" s="142" t="s">
        <v>210</v>
      </c>
      <c r="L39" s="116"/>
    </row>
    <row r="40" spans="2:15" ht="25.05" customHeight="1" x14ac:dyDescent="0.3">
      <c r="B40" s="113"/>
      <c r="D40" s="146" t="s">
        <v>243</v>
      </c>
      <c r="E40" s="104" t="s">
        <v>286</v>
      </c>
      <c r="F40" s="192">
        <v>14</v>
      </c>
      <c r="G40" s="88">
        <f>IF(OR(F40="",F40=0),0,MIN(VLOOKUP(F40,'Rates Lookup'!$H$9:$J$12,3),IF($H$36="",0,$H$36)))</f>
        <v>150000</v>
      </c>
      <c r="H40" s="108">
        <v>150000</v>
      </c>
      <c r="I40" s="92" t="s">
        <v>214</v>
      </c>
      <c r="J40" s="93">
        <f>IFERROR(VLOOKUP($F40,Rate_CH,5),0)</f>
        <v>6.9699999999999989</v>
      </c>
      <c r="K40" s="99">
        <f>IF(MAX($H$40:$H$45)&lt;=MAX($G$40:$G$45),IFERROR(MAX($H$40:$H$45)/10000*J40,0),0)</f>
        <v>104.54999999999998</v>
      </c>
      <c r="L40" s="116"/>
    </row>
    <row r="41" spans="2:15" ht="25.05" customHeight="1" x14ac:dyDescent="0.3">
      <c r="B41" s="113"/>
      <c r="D41" s="137" t="s">
        <v>244</v>
      </c>
      <c r="E41" s="104"/>
      <c r="F41" s="194"/>
      <c r="G41" s="88">
        <f>IF(OR(F41="",F41=0),0,MIN(VLOOKUP(F41,'Rates Lookup'!$H$9:$J$12,3),IF($H$36="",0,$H$36)))</f>
        <v>0</v>
      </c>
      <c r="H41" s="106"/>
      <c r="I41" s="273"/>
      <c r="J41" s="274"/>
      <c r="K41" s="275"/>
      <c r="L41" s="116"/>
    </row>
    <row r="42" spans="2:15" ht="25.05" customHeight="1" x14ac:dyDescent="0.3">
      <c r="B42" s="113"/>
      <c r="D42" s="137" t="s">
        <v>245</v>
      </c>
      <c r="E42" s="104"/>
      <c r="F42" s="192"/>
      <c r="G42" s="88">
        <f>IF(OR(F42="",F42=0),0,MIN(VLOOKUP(F42,'Rates Lookup'!$H$9:$J$12,3),IF($H$36="",0,$H$36)))</f>
        <v>0</v>
      </c>
      <c r="H42" s="106"/>
      <c r="I42" s="276"/>
      <c r="J42" s="277"/>
      <c r="K42" s="278"/>
      <c r="L42" s="116"/>
      <c r="O42" s="147"/>
    </row>
    <row r="43" spans="2:15" ht="25.05" customHeight="1" x14ac:dyDescent="0.3">
      <c r="B43" s="113"/>
      <c r="D43" s="137" t="s">
        <v>246</v>
      </c>
      <c r="E43" s="104"/>
      <c r="F43" s="192"/>
      <c r="G43" s="88">
        <f>IF(OR(F43="",F43=0),0,MIN(VLOOKUP(F43,'Rates Lookup'!$H$9:$J$12,3),IF($H$36="",0,$H$36)))</f>
        <v>0</v>
      </c>
      <c r="H43" s="106"/>
      <c r="I43" s="276"/>
      <c r="J43" s="277"/>
      <c r="K43" s="278"/>
      <c r="L43" s="116"/>
    </row>
    <row r="44" spans="2:15" ht="25.05" customHeight="1" x14ac:dyDescent="0.3">
      <c r="B44" s="113"/>
      <c r="D44" s="137" t="s">
        <v>247</v>
      </c>
      <c r="E44" s="104"/>
      <c r="F44" s="192"/>
      <c r="G44" s="88">
        <f>IF(OR(F44="",F44=0),0,MIN(VLOOKUP(F44,'Rates Lookup'!$H$9:$J$12,3),IF($H$36="",0,$H$36)))</f>
        <v>0</v>
      </c>
      <c r="H44" s="106"/>
      <c r="I44" s="276"/>
      <c r="J44" s="277"/>
      <c r="K44" s="278"/>
      <c r="L44" s="148"/>
      <c r="M44" s="149"/>
    </row>
    <row r="45" spans="2:15" ht="25.05" customHeight="1" thickBot="1" x14ac:dyDescent="0.35">
      <c r="B45" s="113"/>
      <c r="D45" s="138" t="s">
        <v>248</v>
      </c>
      <c r="E45" s="105"/>
      <c r="F45" s="195"/>
      <c r="G45" s="89">
        <f>IF(OR(F45="",F45=0),0,MIN(VLOOKUP(F45,'Rates Lookup'!$H$9:$J$12,3),IF($H$36="",0,$H$36)))</f>
        <v>0</v>
      </c>
      <c r="H45" s="109"/>
      <c r="I45" s="279"/>
      <c r="J45" s="280"/>
      <c r="K45" s="281"/>
      <c r="L45" s="116"/>
    </row>
    <row r="46" spans="2:15" ht="25.05" customHeight="1" thickBot="1" x14ac:dyDescent="0.35">
      <c r="B46" s="113"/>
      <c r="D46" s="130"/>
      <c r="E46" s="130"/>
      <c r="F46" s="130"/>
      <c r="G46" s="130"/>
      <c r="H46" s="130"/>
      <c r="I46" s="130"/>
      <c r="J46" s="130"/>
      <c r="K46" s="130"/>
      <c r="L46" s="116"/>
    </row>
    <row r="47" spans="2:15" ht="34.950000000000003" customHeight="1" thickBot="1" x14ac:dyDescent="0.35">
      <c r="B47" s="113"/>
      <c r="D47" s="145" t="s">
        <v>211</v>
      </c>
      <c r="E47" s="141" t="s">
        <v>207</v>
      </c>
      <c r="F47" s="141" t="s">
        <v>212</v>
      </c>
      <c r="G47" s="150" t="s">
        <v>252</v>
      </c>
      <c r="H47" s="151" t="s">
        <v>21</v>
      </c>
      <c r="I47" s="152" t="s">
        <v>209</v>
      </c>
      <c r="J47" s="141" t="s">
        <v>249</v>
      </c>
      <c r="K47" s="142" t="s">
        <v>210</v>
      </c>
      <c r="L47" s="116"/>
    </row>
    <row r="48" spans="2:15" ht="25.05" customHeight="1" x14ac:dyDescent="0.3">
      <c r="B48" s="113"/>
      <c r="D48" s="146" t="s">
        <v>213</v>
      </c>
      <c r="E48" s="104" t="s">
        <v>287</v>
      </c>
      <c r="F48" s="192">
        <v>39</v>
      </c>
      <c r="G48" s="88">
        <f>IF(OR(F48="",F48=0),0,MIN(75000,IF($H$36="",0,$H$36)))</f>
        <v>75000</v>
      </c>
      <c r="H48" s="108">
        <v>75000</v>
      </c>
      <c r="I48" s="92" t="s">
        <v>214</v>
      </c>
      <c r="J48" s="93">
        <f>IFERROR(VLOOKUP($F48,Rate_PAR,5),0)</f>
        <v>23.8</v>
      </c>
      <c r="K48" s="100">
        <f>IF(H48&lt;=G48,IFERROR(H48/10000*J48,0),0)</f>
        <v>178.5</v>
      </c>
      <c r="L48" s="116"/>
    </row>
    <row r="49" spans="2:12" ht="25.05" customHeight="1" x14ac:dyDescent="0.3">
      <c r="B49" s="113"/>
      <c r="D49" s="137" t="s">
        <v>215</v>
      </c>
      <c r="E49" s="104"/>
      <c r="F49" s="194"/>
      <c r="G49" s="88">
        <f t="shared" ref="G49:G51" si="0">IF(OR(F49="",F49=0),0,MIN(75000,IF($H$36="",0,$H$36)))</f>
        <v>0</v>
      </c>
      <c r="H49" s="110"/>
      <c r="I49" s="101" t="s">
        <v>214</v>
      </c>
      <c r="J49" s="102">
        <f>IFERROR(VLOOKUP($F49,Rate_PAR,5),0)</f>
        <v>0</v>
      </c>
      <c r="K49" s="99">
        <f t="shared" ref="K49:K51" si="1">IF(H49&lt;=G49,IFERROR(H49/10000*J49,0),0)</f>
        <v>0</v>
      </c>
      <c r="L49" s="116"/>
    </row>
    <row r="50" spans="2:12" ht="25.05" customHeight="1" x14ac:dyDescent="0.3">
      <c r="B50" s="113"/>
      <c r="D50" s="137" t="s">
        <v>216</v>
      </c>
      <c r="E50" s="104"/>
      <c r="F50" s="192"/>
      <c r="G50" s="88">
        <f t="shared" si="0"/>
        <v>0</v>
      </c>
      <c r="H50" s="106"/>
      <c r="I50" s="101" t="s">
        <v>214</v>
      </c>
      <c r="J50" s="102">
        <f>IFERROR(VLOOKUP($F50,Rate_PAR,5),0)</f>
        <v>0</v>
      </c>
      <c r="K50" s="99">
        <f t="shared" si="1"/>
        <v>0</v>
      </c>
      <c r="L50" s="116"/>
    </row>
    <row r="51" spans="2:12" ht="25.05" customHeight="1" thickBot="1" x14ac:dyDescent="0.35">
      <c r="B51" s="113"/>
      <c r="D51" s="138" t="s">
        <v>217</v>
      </c>
      <c r="E51" s="105"/>
      <c r="F51" s="195"/>
      <c r="G51" s="89">
        <f t="shared" si="0"/>
        <v>0</v>
      </c>
      <c r="H51" s="109"/>
      <c r="I51" s="96" t="s">
        <v>214</v>
      </c>
      <c r="J51" s="97">
        <f>IFERROR(VLOOKUP($F51,Rate_PAR,5),0)</f>
        <v>0</v>
      </c>
      <c r="K51" s="103">
        <f t="shared" si="1"/>
        <v>0</v>
      </c>
      <c r="L51" s="116"/>
    </row>
    <row r="52" spans="2:12" ht="25.05" customHeight="1" thickBot="1" x14ac:dyDescent="0.35">
      <c r="B52" s="113"/>
      <c r="D52" s="130"/>
      <c r="E52" s="130"/>
      <c r="F52" s="130"/>
      <c r="G52" s="130"/>
      <c r="H52" s="130"/>
      <c r="I52" s="130"/>
      <c r="J52" s="130"/>
      <c r="K52" s="130"/>
      <c r="L52" s="116"/>
    </row>
    <row r="53" spans="2:12" ht="34.950000000000003" customHeight="1" thickBot="1" x14ac:dyDescent="0.35">
      <c r="B53" s="113"/>
      <c r="D53" s="145" t="s">
        <v>251</v>
      </c>
      <c r="E53" s="141" t="s">
        <v>207</v>
      </c>
      <c r="F53" s="141" t="s">
        <v>218</v>
      </c>
      <c r="G53" s="141" t="s">
        <v>252</v>
      </c>
      <c r="H53" s="141" t="s">
        <v>21</v>
      </c>
      <c r="I53" s="141" t="s">
        <v>209</v>
      </c>
      <c r="J53" s="141" t="s">
        <v>249</v>
      </c>
      <c r="K53" s="142" t="s">
        <v>210</v>
      </c>
      <c r="L53" s="116"/>
    </row>
    <row r="54" spans="2:12" ht="25.05" customHeight="1" x14ac:dyDescent="0.3">
      <c r="B54" s="113"/>
      <c r="D54" s="146" t="s">
        <v>219</v>
      </c>
      <c r="E54" s="104" t="s">
        <v>288</v>
      </c>
      <c r="F54" s="192">
        <v>15</v>
      </c>
      <c r="G54" s="88">
        <f>IF(OR(F54="",F54=0),0,MIN(VLOOKUP(F54,'Rates Lookup'!$H$14:$J$17,3),IF($H$36="",0,$H$36)))</f>
        <v>75000</v>
      </c>
      <c r="H54" s="108">
        <v>75000</v>
      </c>
      <c r="I54" s="92" t="s">
        <v>214</v>
      </c>
      <c r="J54" s="93">
        <f t="shared" ref="J54:J63" si="2">IFERROR(VLOOKUP($F54,Rate_EXT,5),0)</f>
        <v>5.5249999999999995</v>
      </c>
      <c r="K54" s="100">
        <f t="shared" ref="K54:K63" si="3">IF(H54&lt;=G54,IFERROR(H54/10000*J54,0),0)</f>
        <v>41.437499999999993</v>
      </c>
      <c r="L54" s="116"/>
    </row>
    <row r="55" spans="2:12" ht="25.05" customHeight="1" x14ac:dyDescent="0.3">
      <c r="B55" s="113"/>
      <c r="D55" s="137" t="s">
        <v>220</v>
      </c>
      <c r="E55" s="104"/>
      <c r="F55" s="194"/>
      <c r="G55" s="88">
        <f>IF(OR(F55="",F55=0),0,MIN(VLOOKUP(F55,'Rates Lookup'!$H$14:$J$17,3),IF($H$36="",0,$H$36)))</f>
        <v>0</v>
      </c>
      <c r="H55" s="110"/>
      <c r="I55" s="101" t="s">
        <v>214</v>
      </c>
      <c r="J55" s="102">
        <f t="shared" si="2"/>
        <v>0</v>
      </c>
      <c r="K55" s="99">
        <f t="shared" si="3"/>
        <v>0</v>
      </c>
      <c r="L55" s="116"/>
    </row>
    <row r="56" spans="2:12" ht="25.05" customHeight="1" x14ac:dyDescent="0.3">
      <c r="B56" s="113"/>
      <c r="D56" s="137" t="s">
        <v>221</v>
      </c>
      <c r="E56" s="104"/>
      <c r="F56" s="192"/>
      <c r="G56" s="88">
        <f>IF(OR(F56="",F56=0),0,MIN(VLOOKUP(F56,'Rates Lookup'!$H$14:$J$17,3),IF($H$36="",0,$H$36)))</f>
        <v>0</v>
      </c>
      <c r="H56" s="110"/>
      <c r="I56" s="101" t="s">
        <v>214</v>
      </c>
      <c r="J56" s="102">
        <f t="shared" si="2"/>
        <v>0</v>
      </c>
      <c r="K56" s="99">
        <f t="shared" si="3"/>
        <v>0</v>
      </c>
      <c r="L56" s="116"/>
    </row>
    <row r="57" spans="2:12" ht="25.05" customHeight="1" x14ac:dyDescent="0.3">
      <c r="B57" s="113"/>
      <c r="D57" s="137" t="s">
        <v>222</v>
      </c>
      <c r="E57" s="104"/>
      <c r="F57" s="192"/>
      <c r="G57" s="88">
        <f>IF(OR(F57="",F57=0),0,MIN(VLOOKUP(F57,'Rates Lookup'!$H$14:$J$17,3),IF($H$36="",0,$H$36)))</f>
        <v>0</v>
      </c>
      <c r="H57" s="110"/>
      <c r="I57" s="101" t="s">
        <v>214</v>
      </c>
      <c r="J57" s="102">
        <f t="shared" si="2"/>
        <v>0</v>
      </c>
      <c r="K57" s="99">
        <f t="shared" si="3"/>
        <v>0</v>
      </c>
      <c r="L57" s="116"/>
    </row>
    <row r="58" spans="2:12" ht="25.05" customHeight="1" x14ac:dyDescent="0.3">
      <c r="B58" s="113"/>
      <c r="D58" s="137" t="s">
        <v>223</v>
      </c>
      <c r="E58" s="104"/>
      <c r="F58" s="192"/>
      <c r="G58" s="88">
        <f>IF(OR(F58="",F58=0),0,MIN(VLOOKUP(F58,'Rates Lookup'!$H$14:$J$17,3),IF($H$36="",0,$H$36)))</f>
        <v>0</v>
      </c>
      <c r="H58" s="110"/>
      <c r="I58" s="101" t="s">
        <v>214</v>
      </c>
      <c r="J58" s="102">
        <f t="shared" si="2"/>
        <v>0</v>
      </c>
      <c r="K58" s="99">
        <f t="shared" si="3"/>
        <v>0</v>
      </c>
      <c r="L58" s="116"/>
    </row>
    <row r="59" spans="2:12" ht="25.05" customHeight="1" x14ac:dyDescent="0.3">
      <c r="B59" s="113"/>
      <c r="D59" s="137" t="s">
        <v>224</v>
      </c>
      <c r="E59" s="104"/>
      <c r="F59" s="192"/>
      <c r="G59" s="88">
        <f>IF(OR(F59="",F59=0),0,MIN(VLOOKUP(F59,'Rates Lookup'!$H$14:$J$17,3),IF($H$36="",0,$H$36)))</f>
        <v>0</v>
      </c>
      <c r="H59" s="110"/>
      <c r="I59" s="101" t="s">
        <v>214</v>
      </c>
      <c r="J59" s="102">
        <f t="shared" si="2"/>
        <v>0</v>
      </c>
      <c r="K59" s="99">
        <f t="shared" si="3"/>
        <v>0</v>
      </c>
      <c r="L59" s="116"/>
    </row>
    <row r="60" spans="2:12" ht="25.05" customHeight="1" x14ac:dyDescent="0.3">
      <c r="B60" s="113"/>
      <c r="D60" s="137" t="s">
        <v>225</v>
      </c>
      <c r="E60" s="104"/>
      <c r="F60" s="192"/>
      <c r="G60" s="88">
        <f>IF(OR(F60="",F60=0),0,MIN(VLOOKUP(F60,'Rates Lookup'!$H$14:$J$17,3),IF($H$36="",0,$H$36)))</f>
        <v>0</v>
      </c>
      <c r="H60" s="110"/>
      <c r="I60" s="101" t="s">
        <v>214</v>
      </c>
      <c r="J60" s="102">
        <f t="shared" si="2"/>
        <v>0</v>
      </c>
      <c r="K60" s="99">
        <f t="shared" si="3"/>
        <v>0</v>
      </c>
      <c r="L60" s="116"/>
    </row>
    <row r="61" spans="2:12" ht="25.05" customHeight="1" x14ac:dyDescent="0.3">
      <c r="B61" s="113"/>
      <c r="D61" s="137" t="s">
        <v>226</v>
      </c>
      <c r="E61" s="104"/>
      <c r="F61" s="192"/>
      <c r="G61" s="88">
        <f>IF(OR(F61="",F61=0),0,MIN(VLOOKUP(F61,'Rates Lookup'!$H$14:$J$17,3),IF($H$36="",0,$H$36)))</f>
        <v>0</v>
      </c>
      <c r="H61" s="110"/>
      <c r="I61" s="101" t="s">
        <v>214</v>
      </c>
      <c r="J61" s="102">
        <f t="shared" si="2"/>
        <v>0</v>
      </c>
      <c r="K61" s="99">
        <f t="shared" si="3"/>
        <v>0</v>
      </c>
      <c r="L61" s="116"/>
    </row>
    <row r="62" spans="2:12" ht="25.05" customHeight="1" x14ac:dyDescent="0.3">
      <c r="B62" s="113"/>
      <c r="D62" s="137" t="s">
        <v>227</v>
      </c>
      <c r="E62" s="104"/>
      <c r="F62" s="192"/>
      <c r="G62" s="88">
        <f>IF(OR(F62="",F62=0),0,MIN(VLOOKUP(F62,'Rates Lookup'!$H$14:$J$17,3),IF($H$36="",0,$H$36)))</f>
        <v>0</v>
      </c>
      <c r="H62" s="110"/>
      <c r="I62" s="101" t="s">
        <v>214</v>
      </c>
      <c r="J62" s="102">
        <f t="shared" si="2"/>
        <v>0</v>
      </c>
      <c r="K62" s="99">
        <f t="shared" si="3"/>
        <v>0</v>
      </c>
      <c r="L62" s="116"/>
    </row>
    <row r="63" spans="2:12" ht="25.05" customHeight="1" thickBot="1" x14ac:dyDescent="0.35">
      <c r="B63" s="113"/>
      <c r="D63" s="138" t="s">
        <v>228</v>
      </c>
      <c r="E63" s="105"/>
      <c r="F63" s="195"/>
      <c r="G63" s="89">
        <f>IF(OR(F63="",F63=0),0,MIN(VLOOKUP(F63,'Rates Lookup'!$H$14:$J$17,3),IF($H$36="",0,$H$36)))</f>
        <v>0</v>
      </c>
      <c r="H63" s="107"/>
      <c r="I63" s="96" t="s">
        <v>214</v>
      </c>
      <c r="J63" s="97">
        <f t="shared" si="2"/>
        <v>0</v>
      </c>
      <c r="K63" s="103">
        <f t="shared" si="3"/>
        <v>0</v>
      </c>
      <c r="L63" s="116"/>
    </row>
    <row r="64" spans="2:12" ht="25.05" customHeight="1" thickBot="1" x14ac:dyDescent="0.35">
      <c r="B64" s="113"/>
      <c r="L64" s="116"/>
    </row>
    <row r="65" spans="2:12" ht="25.05" customHeight="1" thickBot="1" x14ac:dyDescent="0.35">
      <c r="B65" s="113"/>
      <c r="J65" s="153" t="s">
        <v>261</v>
      </c>
      <c r="K65" s="154">
        <f>SUM(K36:K37)+K40+SUM(K48:K51)+SUM(K54:K63)</f>
        <v>712.9375</v>
      </c>
      <c r="L65" s="116"/>
    </row>
    <row r="66" spans="2:12" ht="25.05" customHeight="1" thickBot="1" x14ac:dyDescent="0.35">
      <c r="B66" s="113"/>
      <c r="L66" s="116"/>
    </row>
    <row r="67" spans="2:12" ht="30" customHeight="1" thickBot="1" x14ac:dyDescent="0.35">
      <c r="B67" s="113"/>
      <c r="D67" s="253" t="str">
        <f>"Total premium for "&amp;E31&amp;" (incl. VAS)"</f>
        <v>Total premium for Consolidated Funeral Basic (incl. VAS)</v>
      </c>
      <c r="E67" s="254"/>
      <c r="F67" s="254"/>
      <c r="G67" s="254"/>
      <c r="H67" s="254"/>
      <c r="I67" s="254"/>
      <c r="J67" s="255"/>
      <c r="K67" s="87">
        <f>IF(K36=0,0,K65+IF(E31="Consolidated Funeral Basic",K31,K31+K32))</f>
        <v>714.46749999999997</v>
      </c>
      <c r="L67" s="116"/>
    </row>
    <row r="68" spans="2:12" ht="25.05" customHeight="1" x14ac:dyDescent="0.3">
      <c r="B68" s="113"/>
      <c r="L68" s="116"/>
    </row>
    <row r="69" spans="2:12" ht="15" customHeight="1" x14ac:dyDescent="0.3">
      <c r="B69" s="113"/>
      <c r="K69" s="155" t="s">
        <v>259</v>
      </c>
      <c r="L69" s="116"/>
    </row>
    <row r="70" spans="2:12" ht="15" customHeight="1" thickBot="1" x14ac:dyDescent="0.35">
      <c r="B70" s="156"/>
      <c r="C70" s="126"/>
      <c r="D70" s="127"/>
      <c r="E70" s="127"/>
      <c r="F70" s="127"/>
      <c r="G70" s="127"/>
      <c r="H70" s="127"/>
      <c r="I70" s="127"/>
      <c r="J70" s="127"/>
      <c r="K70" s="157" t="s">
        <v>260</v>
      </c>
      <c r="L70" s="158"/>
    </row>
    <row r="71" spans="2:12" ht="25.05" customHeight="1" x14ac:dyDescent="0.3"/>
  </sheetData>
  <sheetProtection algorithmName="SHA-512" hashValue="oYmnPEXUt+yEGTrBtY4ZI8GjSHJwPl4G9JTYEKsif2IoNT2Jbi+MiBcaNwgX1B3Z5nLrORyot4aMNacQFd9S5Q==" saltValue="WhTXHtz1OjYAXCAObPr80Q==" spinCount="100000" sheet="1" objects="1" scenarios="1"/>
  <mergeCells count="37">
    <mergeCell ref="H33:K33"/>
    <mergeCell ref="D67:J67"/>
    <mergeCell ref="E20:F20"/>
    <mergeCell ref="E21:F21"/>
    <mergeCell ref="E22:F22"/>
    <mergeCell ref="E23:F23"/>
    <mergeCell ref="E24:F24"/>
    <mergeCell ref="H31:J31"/>
    <mergeCell ref="H32:J32"/>
    <mergeCell ref="E32:F32"/>
    <mergeCell ref="E31:F31"/>
    <mergeCell ref="D30:F30"/>
    <mergeCell ref="I41:K45"/>
    <mergeCell ref="H30:K30"/>
    <mergeCell ref="D20:D24"/>
    <mergeCell ref="G7:H7"/>
    <mergeCell ref="G8:H8"/>
    <mergeCell ref="G14:H14"/>
    <mergeCell ref="G13:H13"/>
    <mergeCell ref="E13:F13"/>
    <mergeCell ref="E14:F14"/>
    <mergeCell ref="E15:F15"/>
    <mergeCell ref="C3:K3"/>
    <mergeCell ref="D5:K5"/>
    <mergeCell ref="D8:D15"/>
    <mergeCell ref="G9:H9"/>
    <mergeCell ref="G10:H10"/>
    <mergeCell ref="G11:H11"/>
    <mergeCell ref="G12:H12"/>
    <mergeCell ref="G15:H15"/>
    <mergeCell ref="E11:F11"/>
    <mergeCell ref="E7:F7"/>
    <mergeCell ref="E8:F8"/>
    <mergeCell ref="E9:F9"/>
    <mergeCell ref="E10:F10"/>
    <mergeCell ref="E12:F12"/>
    <mergeCell ref="I6:K8"/>
  </mergeCells>
  <phoneticPr fontId="4" type="noConversion"/>
  <dataValidations count="6">
    <dataValidation type="whole" allowBlank="1" showInputMessage="1" showErrorMessage="1" errorTitle="Maximum Sum Assured" error="The maximum sum assured for Funeral cover is R150,000." sqref="H46" xr:uid="{4DFDD239-0864-4705-8E0B-C477763663F2}">
      <formula1>0</formula1>
      <formula2>150000</formula2>
    </dataValidation>
    <dataValidation type="whole" allowBlank="1" showInputMessage="1" showErrorMessage="1" errorTitle="Maximum Sum Assured" error="Exceeded the max cover amount!" sqref="H40:H45 H48:H51 H36:H37 H54:H63" xr:uid="{9BC5544A-F039-4459-BD72-AE3E88C216AE}">
      <formula1>0</formula1>
      <formula2>G36</formula2>
    </dataValidation>
    <dataValidation type="whole" allowBlank="1" showInputMessage="1" showErrorMessage="1" sqref="F37" xr:uid="{FCC98DCC-4D22-4ABF-BF5F-95A9E1CFEC37}">
      <formula1>1</formula1>
      <formula2>75</formula2>
    </dataValidation>
    <dataValidation type="whole" allowBlank="1" showInputMessage="1" showErrorMessage="1" error="Age is not within the range of 18 and 75 (inclusive) years old" sqref="F36 F48:F51" xr:uid="{BF360392-2757-47AC-ADF8-4772C6C7EAFA}">
      <formula1>18</formula1>
      <formula2>75</formula2>
    </dataValidation>
    <dataValidation type="whole" allowBlank="1" showInputMessage="1" showErrorMessage="1" error="Age is not within the range of 1 and 21 (inclusive) years old" sqref="F40:F45" xr:uid="{81DEA3A3-1F6A-40BB-A000-071A0DCE140D}">
      <formula1>1</formula1>
      <formula2>21</formula2>
    </dataValidation>
    <dataValidation type="whole" allowBlank="1" showInputMessage="1" showErrorMessage="1" error="Age is not within the range of 1 and 75 (inclusive) years old" sqref="F54:F63" xr:uid="{11C82916-111A-4C77-9B62-B22E1F17D594}">
      <formula1>1</formula1>
      <formula2>75</formula2>
    </dataValidation>
  </dataValidations>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6D04DCB8-01DF-4201-B875-76046FC05AEA}">
          <x14:formula1>
            <xm:f>DropdownList!$M$3:$M$4</xm:f>
          </x14:formula1>
          <xm:sqref>E31:F31</xm:sqref>
        </x14:dataValidation>
        <x14:dataValidation type="list" allowBlank="1" showInputMessage="1" showErrorMessage="1" xr:uid="{5F40453F-90A0-46B5-8E22-92DE3029A4F7}">
          <x14:formula1>
            <xm:f>DropdownList!$E$8:$E$10</xm:f>
          </x14:formula1>
          <xm:sqref>E32:F32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D9E3-4695-4486-86F9-8ACE51526057}">
  <sheetPr codeName="Sheet5"/>
  <dimension ref="B1:U98"/>
  <sheetViews>
    <sheetView workbookViewId="0">
      <selection activeCell="B2" sqref="B2"/>
    </sheetView>
  </sheetViews>
  <sheetFormatPr defaultColWidth="8.88671875" defaultRowHeight="13.8" x14ac:dyDescent="0.3"/>
  <cols>
    <col min="1" max="1" width="2.77734375" style="71" customWidth="1"/>
    <col min="2" max="2" width="13.6640625" style="71" customWidth="1"/>
    <col min="3" max="3" width="19.21875" style="71" customWidth="1"/>
    <col min="4" max="4" width="14.109375" style="71" bestFit="1" customWidth="1"/>
    <col min="5" max="5" width="16.21875" style="71" customWidth="1"/>
    <col min="6" max="6" width="12.88671875" style="71" customWidth="1"/>
    <col min="7" max="7" width="8.6640625" style="71" customWidth="1"/>
    <col min="8" max="8" width="23.21875" style="71" bestFit="1" customWidth="1"/>
    <col min="9" max="9" width="19.77734375" style="71" customWidth="1"/>
    <col min="10" max="10" width="7.109375" style="71" customWidth="1"/>
    <col min="11" max="11" width="14.21875" style="71" customWidth="1"/>
    <col min="12" max="12" width="10.88671875" style="71" customWidth="1"/>
    <col min="13" max="13" width="14" style="71" customWidth="1"/>
    <col min="14" max="14" width="10" style="71" customWidth="1"/>
    <col min="15" max="15" width="12.77734375" style="76" customWidth="1"/>
    <col min="16" max="16" width="12.33203125" style="71" customWidth="1"/>
    <col min="17" max="17" width="29.6640625" style="71" customWidth="1"/>
    <col min="18" max="20" width="12.88671875" style="71" customWidth="1"/>
    <col min="21" max="21" width="13.109375" style="71" customWidth="1"/>
    <col min="22" max="16384" width="8.88671875" style="71"/>
  </cols>
  <sheetData>
    <row r="1" spans="2:21" ht="14.4" thickBot="1" x14ac:dyDescent="0.35"/>
    <row r="2" spans="2:21" ht="55.2" x14ac:dyDescent="0.3">
      <c r="B2" s="70" t="s">
        <v>9</v>
      </c>
      <c r="C2" s="70" t="s">
        <v>12</v>
      </c>
      <c r="D2" s="70" t="s">
        <v>13</v>
      </c>
      <c r="E2" s="70" t="s">
        <v>14</v>
      </c>
      <c r="F2" s="70" t="s">
        <v>15</v>
      </c>
      <c r="G2" s="70" t="s">
        <v>16</v>
      </c>
      <c r="H2" s="70" t="s">
        <v>17</v>
      </c>
      <c r="I2" s="70" t="s">
        <v>18</v>
      </c>
      <c r="J2" s="70" t="s">
        <v>183</v>
      </c>
      <c r="K2" s="70" t="s">
        <v>188</v>
      </c>
      <c r="L2" s="70" t="s">
        <v>184</v>
      </c>
      <c r="M2" s="70" t="s">
        <v>21</v>
      </c>
      <c r="N2" s="160" t="s">
        <v>273</v>
      </c>
      <c r="O2" s="161" t="s">
        <v>269</v>
      </c>
      <c r="P2" s="162" t="s">
        <v>270</v>
      </c>
      <c r="Q2" s="162" t="s">
        <v>271</v>
      </c>
      <c r="R2" s="162" t="s">
        <v>272</v>
      </c>
      <c r="S2" s="162" t="s">
        <v>274</v>
      </c>
      <c r="T2" s="162" t="s">
        <v>268</v>
      </c>
      <c r="U2" s="163" t="s">
        <v>275</v>
      </c>
    </row>
    <row r="3" spans="2:21" x14ac:dyDescent="0.3">
      <c r="B3" s="173" t="str">
        <f>Members!B5</f>
        <v>Main Member</v>
      </c>
      <c r="C3" s="174" t="str">
        <f>Members!E5</f>
        <v>9403175256087</v>
      </c>
      <c r="D3" s="174" t="str">
        <f>Members!F5</f>
        <v>9403175256087</v>
      </c>
      <c r="E3" s="174">
        <f>Members!G5</f>
        <v>0</v>
      </c>
      <c r="F3" s="72">
        <f>Members!H5</f>
        <v>32706</v>
      </c>
      <c r="G3" s="71" t="str">
        <f>Members!I5</f>
        <v>Female</v>
      </c>
      <c r="H3" s="71" t="str">
        <f>Members!J5</f>
        <v>Consolidated Funeral - Main</v>
      </c>
      <c r="I3" s="72">
        <f>Members!K5</f>
        <v>46082</v>
      </c>
      <c r="J3" s="73">
        <f t="shared" ref="J3" si="0">IFERROR(DATEDIF(F3,I3,"Y")+1,0)</f>
        <v>37</v>
      </c>
      <c r="K3" s="74">
        <f>IFERROR(IF(OR(B3=0,Table3[[#This Row],[Age]]=0,Table3[[#This Row],[Member Type]]="Beneficiary"),0,
IF(B3="Main Member",VLOOKUP(J3,Rate_MM,5),
IF(B3="Spouse",VLOOKUP(J3,Rate_SP,5),
IF(B3="Extended",VLOOKUP(J3,Rate_EXT,5),
IF(B3="Parent",VLOOKUP(J3,Rate_PAR,5),
IF(B3="Child",VLOOKUP(J3,Rate_CH,5))))))),0)</f>
        <v>13.8125</v>
      </c>
      <c r="L3" s="74">
        <f>IFERROR(IF(OR(B3=0,Table3[[#This Row],[Age]]=0,Table3[[#This Row],[Member Type]]="Beneficiary"),0,
IF(B3="Main Member",VLOOKUP(J3,Rate_MM,4),
IF(B3="Spouse",VLOOKUP(J3,Rate_SP,4),
IF(B3="Extended",VLOOKUP(J3,Rate_EXT,4),
IF(B3="Parent",VLOOKUP(J3,Rate_PAR,4),
IF(B3="Child",VLOOKUP(J3,Rate_CH,4))))))),0)</f>
        <v>97.75</v>
      </c>
      <c r="M3" s="75">
        <f>Members!N5</f>
        <v>120000</v>
      </c>
      <c r="N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263.5</v>
      </c>
      <c r="O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150000</v>
      </c>
      <c r="P3" s="165">
        <f>IF(Table3[[#This Row],[Member Type]]="Child",COUNTIFS($B$3:$B$98,"Child",$C$3:$C$98,Table3[[#This Row],[Main Member Link ID]])-COUNTIFS($B4:$B$98,"Child",$C4:$C$98,Table3[[#This Row],[Main Member Link ID]]),
IF(Table3[[#This Row],[Member Type]]="Extended",COUNTIFS($B$3:$B$98,"Extended",$C$3:$C$98,Table3[[#This Row],[Main Member Link ID]])-COUNTIFS($B4:$B$98,"Extended",$C4:$C$98,Table3[[#This Row],[Main Member Link ID]]),
IF(Table3[[#This Row],[Member Type]]="Parent",COUNTIFS($B$3:$B$98,"Parent",$C$3:$C$98,Table3[[#This Row],[Main Member Link ID]])-COUNTIFS($B4:$B$98,"Parent",$C4:$C$98,Table3[[#This Row],[Main Member Link ID]]),
IF(Table3[[#This Row],[Member Type]]="Spouse",COUNTIFS($B$3:$B$98,"Spouse",$C$3:$C$98,Table3[[#This Row],[Main Member Link ID]])-COUNTIFS($B4:$B$98,"Spouse",$C4:$C$98,Table3[[#This Row],[Main Member Link ID]]),
IF(Table3[[#This Row],[Member Type]]="Main Member",COUNTIFS($B$3:$B$98,"Main Member",$C$3:$C$98,Table3[[#This Row],[Main Member Link ID]])-COUNTIFS($B4:$B$98,"Main Member",$C4:$C$98,Table3[[#This Row],[Main Member Link ID]]),
IF(Table3[[#This Row],[Member Type]]="Beneficiary",COUNTIFS($B$3:$B$98,"Beneficiary",$C$3:$C$98,Table3[[#This Row],[Main Member Link ID]])-COUNTIFS($B4:$B$98,"Beneficiary",$C4:$C$98,Table3[[#This Row],[Main Member Link ID]]),0))))))</f>
        <v>1</v>
      </c>
      <c r="Q3" s="165">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150000</v>
      </c>
      <c r="R3" s="166">
        <f>IF(Table3[[#This Row],[Member Type]]="Child",Table3[[#This Row],[Rate per 10,000]]/10000*Table3[[#This Row],[Cover Amount]],0)</f>
        <v>0</v>
      </c>
      <c r="S3" s="165">
        <f>IF(Table3[[#This Row],[Member Type]]="Child",COUNTIFS(Table3[Each Child Premium],Table3[[#This Row],[Each Child Premium]],Table3[Main Member Link ID],Table3[[#This Row],[Main Member Link ID]]),0)</f>
        <v>0</v>
      </c>
      <c r="T3" s="165" t="str">
        <f>IF(Table3[[#This Row],[No. of Child with same Cover Amont under a policy]]=0,"",IF(Table3[[#This Row],[Each Child Premium]]&gt;=_xlfn.MAXIFS(Table3[Each Child Premium],Table3[Main Member Link ID],Table3[[#This Row],[Main Member Link ID]]),"Yes",""))</f>
        <v/>
      </c>
      <c r="U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policy]]&gt;1,J3=_xlfn.MINIFS(Table3[Age],Table3[Member Type],"Child",Table3[Main Member Link ID],Table3[[#This Row],[Main Member Link ID]],Table3[No. of Child with same Cover Amont under a policy],Table3[[#This Row],[No. of Child with same Cover Amont under a policy]])),1,0)),0)</f>
        <v>0</v>
      </c>
    </row>
    <row r="4" spans="2:21" x14ac:dyDescent="0.3">
      <c r="B4" s="173" t="str">
        <f>Members!B6</f>
        <v>Spouse</v>
      </c>
      <c r="C4" s="174" t="str">
        <f>Members!E6</f>
        <v>9403175256087</v>
      </c>
      <c r="D4" s="174" t="str">
        <f>Members!F6</f>
        <v>9403175091187</v>
      </c>
      <c r="E4" s="174">
        <f>Members!G6</f>
        <v>0</v>
      </c>
      <c r="F4" s="72">
        <f>Members!H6</f>
        <v>32339</v>
      </c>
      <c r="G4" s="71" t="str">
        <f>Members!I6</f>
        <v>Male</v>
      </c>
      <c r="H4" s="71" t="str">
        <f>Members!J6</f>
        <v xml:space="preserve">Consolidated Funeral - Spouse </v>
      </c>
      <c r="I4" s="72">
        <f>Members!K6</f>
        <v>46082</v>
      </c>
      <c r="J4" s="73">
        <f t="shared" ref="J4:J67" si="1">IFERROR(DATEDIF(F4,I4,"Y")+1,0)</f>
        <v>38</v>
      </c>
      <c r="K4" s="74">
        <f>IFERROR(IF(OR(B4=0,Table3[[#This Row],[Age]]=0,Table3[[#This Row],[Member Type]]="Beneficiary"),0,
IF(B4="Main Member",VLOOKUP(J4,Rate_MM,5),
IF(B4="Spouse",VLOOKUP(J4,Rate_SP,5),
IF(B4="Extended",VLOOKUP(J4,Rate_EXT,5),
IF(B4="Parent",VLOOKUP(J4,Rate_PAR,5),
IF(B4="Child",VLOOKUP(J4,Rate_CH,5))))))),0)</f>
        <v>13.8125</v>
      </c>
      <c r="L4" s="74">
        <f>IFERROR(IF(OR(B4=0,Table3[[#This Row],[Age]]=0,Table3[[#This Row],[Member Type]]="Beneficiary"),0,
IF(B4="Main Member",VLOOKUP(J4,Rate_MM,4),
IF(B4="Spouse",VLOOKUP(J4,Rate_SP,4),
IF(B4="Extended",VLOOKUP(J4,Rate_EXT,4),
IF(B4="Parent",VLOOKUP(J4,Rate_PAR,4),
IF(B4="Child",VLOOKUP(J4,Rate_CH,4))))))),0)</f>
        <v>0</v>
      </c>
      <c r="M4" s="75">
        <f>Members!N6</f>
        <v>100000</v>
      </c>
      <c r="N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138.125</v>
      </c>
      <c r="O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120000</v>
      </c>
      <c r="P4" s="165">
        <f>IF(Table3[[#This Row],[Member Type]]="Child",COUNTIFS($B$3:$B$98,"Child",$C$3:$C$98,Table3[[#This Row],[Main Member Link ID]])-COUNTIFS($B5:$B$98,"Child",$C5:$C$98,Table3[[#This Row],[Main Member Link ID]]),
IF(Table3[[#This Row],[Member Type]]="Extended",COUNTIFS($B$3:$B$98,"Extended",$C$3:$C$98,Table3[[#This Row],[Main Member Link ID]])-COUNTIFS($B5:$B$98,"Extended",$C5:$C$98,Table3[[#This Row],[Main Member Link ID]]),
IF(Table3[[#This Row],[Member Type]]="Parent",COUNTIFS($B$3:$B$98,"Parent",$C$3:$C$98,Table3[[#This Row],[Main Member Link ID]])-COUNTIFS($B5:$B$98,"Parent",$C5:$C$98,Table3[[#This Row],[Main Member Link ID]]),
IF(Table3[[#This Row],[Member Type]]="Spouse",COUNTIFS($B$3:$B$98,"Spouse",$C$3:$C$98,Table3[[#This Row],[Main Member Link ID]])-COUNTIFS($B5:$B$98,"Spouse",$C5:$C$98,Table3[[#This Row],[Main Member Link ID]]),
IF(Table3[[#This Row],[Member Type]]="Main Member",COUNTIFS($B$3:$B$98,"Main Member",$C$3:$C$98,Table3[[#This Row],[Main Member Link ID]])-COUNTIFS($B5:$B$98,"Main Member",$C5:$C$98,Table3[[#This Row],[Main Member Link ID]]),
IF(Table3[[#This Row],[Member Type]]="Beneficiary",COUNTIFS($B$3:$B$98,"Beneficiary",$C$3:$C$98,Table3[[#This Row],[Main Member Link ID]])-COUNTIFS($B5:$B$98,"Beneficiary",$C5:$C$98,Table3[[#This Row],[Main Member Link ID]]),0))))))</f>
        <v>1</v>
      </c>
      <c r="Q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120000</v>
      </c>
      <c r="R4" s="166">
        <f>IF(Table3[[#This Row],[Member Type]]="Child",Table3[[#This Row],[Rate per 10,000]]/10000*Table3[[#This Row],[Cover Amount]],0)</f>
        <v>0</v>
      </c>
      <c r="S4" s="165">
        <f>IF(Table3[[#This Row],[Member Type]]="Child",COUNTIFS(Table3[Each Child Premium],Table3[[#This Row],[Each Child Premium]],Table3[Main Member Link ID],Table3[[#This Row],[Main Member Link ID]]),0)</f>
        <v>0</v>
      </c>
      <c r="T4" s="165" t="str">
        <f>IF(Table3[[#This Row],[No. of Child with same Cover Amont under a policy]]=0,"",IF(Table3[[#This Row],[Each Child Premium]]&gt;=_xlfn.MAXIFS(Table3[Each Child Premium],Table3[Main Member Link ID],Table3[[#This Row],[Main Member Link ID]]),"Yes",""))</f>
        <v/>
      </c>
      <c r="U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policy]]&gt;1,J4=_xlfn.MINIFS(Table3[Age],Table3[Member Type],"Child",Table3[Main Member Link ID],Table3[[#This Row],[Main Member Link ID]],Table3[No. of Child with same Cover Amont under a policy],Table3[[#This Row],[No. of Child with same Cover Amont under a policy]])),1,0)),0)</f>
        <v>0</v>
      </c>
    </row>
    <row r="5" spans="2:21" x14ac:dyDescent="0.3">
      <c r="B5" s="173" t="str">
        <f>Members!B7</f>
        <v>Beneficiary</v>
      </c>
      <c r="C5" s="174">
        <f>Members!E7</f>
        <v>9706160746189</v>
      </c>
      <c r="D5" s="174" t="str">
        <f>Members!F7</f>
        <v>9403177609184</v>
      </c>
      <c r="E5" s="174">
        <f>Members!G7</f>
        <v>0</v>
      </c>
      <c r="F5" s="72">
        <f>Members!H7</f>
        <v>37714</v>
      </c>
      <c r="G5" s="71" t="str">
        <f>Members!I7</f>
        <v>Male</v>
      </c>
      <c r="H5" s="71" t="str">
        <f>Members!J7</f>
        <v/>
      </c>
      <c r="I5" s="72">
        <f>Members!K7</f>
        <v>46082</v>
      </c>
      <c r="J5" s="73">
        <f t="shared" si="1"/>
        <v>23</v>
      </c>
      <c r="K5" s="74">
        <f>IFERROR(IF(OR(B5=0,Table3[[#This Row],[Age]]=0,Table3[[#This Row],[Member Type]]="Beneficiary"),0,
IF(B5="Main Member",VLOOKUP(J5,Rate_MM,5),
IF(B5="Spouse",VLOOKUP(J5,Rate_SP,5),
IF(B5="Extended",VLOOKUP(J5,Rate_EXT,5),
IF(B5="Parent",VLOOKUP(J5,Rate_PAR,5),
IF(B5="Child",VLOOKUP(J5,Rate_CH,5))))))),0)</f>
        <v>0</v>
      </c>
      <c r="L5" s="74">
        <f>IFERROR(IF(OR(B5=0,Table3[[#This Row],[Age]]=0,Table3[[#This Row],[Member Type]]="Beneficiary"),0,
IF(B5="Main Member",VLOOKUP(J5,Rate_MM,4),
IF(B5="Spouse",VLOOKUP(J5,Rate_SP,4),
IF(B5="Extended",VLOOKUP(J5,Rate_EXT,4),
IF(B5="Parent",VLOOKUP(J5,Rate_PAR,4),
IF(B5="Child",VLOOKUP(J5,Rate_CH,4))))))),0)</f>
        <v>0</v>
      </c>
      <c r="M5" s="75">
        <f>Members!N7</f>
        <v>100000</v>
      </c>
      <c r="N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 s="165">
        <f>IF(Table3[[#This Row],[Member Type]]="Child",COUNTIFS($B$3:$B$98,"Child",$C$3:$C$98,Table3[[#This Row],[Main Member Link ID]])-COUNTIFS($B6:$B$98,"Child",$C6:$C$98,Table3[[#This Row],[Main Member Link ID]]),
IF(Table3[[#This Row],[Member Type]]="Extended",COUNTIFS($B$3:$B$98,"Extended",$C$3:$C$98,Table3[[#This Row],[Main Member Link ID]])-COUNTIFS($B6:$B$98,"Extended",$C6:$C$98,Table3[[#This Row],[Main Member Link ID]]),
IF(Table3[[#This Row],[Member Type]]="Parent",COUNTIFS($B$3:$B$98,"Parent",$C$3:$C$98,Table3[[#This Row],[Main Member Link ID]])-COUNTIFS($B6:$B$98,"Parent",$C6:$C$98,Table3[[#This Row],[Main Member Link ID]]),
IF(Table3[[#This Row],[Member Type]]="Spouse",COUNTIFS($B$3:$B$98,"Spouse",$C$3:$C$98,Table3[[#This Row],[Main Member Link ID]])-COUNTIFS($B6:$B$98,"Spouse",$C6:$C$98,Table3[[#This Row],[Main Member Link ID]]),
IF(Table3[[#This Row],[Member Type]]="Main Member",COUNTIFS($B$3:$B$98,"Main Member",$C$3:$C$98,Table3[[#This Row],[Main Member Link ID]])-COUNTIFS($B6:$B$98,"Main Member",$C6:$C$98,Table3[[#This Row],[Main Member Link ID]]),
IF(Table3[[#This Row],[Member Type]]="Beneficiary",COUNTIFS($B$3:$B$98,"Beneficiary",$C$3:$C$98,Table3[[#This Row],[Main Member Link ID]])-COUNTIFS($B6:$B$98,"Beneficiary",$C6:$C$98,Table3[[#This Row],[Main Member Link ID]]),0))))))</f>
        <v>1</v>
      </c>
      <c r="Q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 s="166">
        <f>IF(Table3[[#This Row],[Member Type]]="Child",Table3[[#This Row],[Rate per 10,000]]/10000*Table3[[#This Row],[Cover Amount]],0)</f>
        <v>0</v>
      </c>
      <c r="S5" s="165">
        <f>IF(Table3[[#This Row],[Member Type]]="Child",COUNTIFS(Table3[Each Child Premium],Table3[[#This Row],[Each Child Premium]],Table3[Main Member Link ID],Table3[[#This Row],[Main Member Link ID]]),0)</f>
        <v>0</v>
      </c>
      <c r="T5" s="165" t="str">
        <f>IF(Table3[[#This Row],[No. of Child with same Cover Amont under a policy]]=0,"",IF(Table3[[#This Row],[Each Child Premium]]&gt;=_xlfn.MAXIFS(Table3[Each Child Premium],Table3[Main Member Link ID],Table3[[#This Row],[Main Member Link ID]]),"Yes",""))</f>
        <v/>
      </c>
      <c r="U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policy]]&gt;1,J5=_xlfn.MINIFS(Table3[Age],Table3[Member Type],"Child",Table3[Main Member Link ID],Table3[[#This Row],[Main Member Link ID]],Table3[No. of Child with same Cover Amont under a policy],Table3[[#This Row],[No. of Child with same Cover Amont under a policy]])),1,0)),0)</f>
        <v>0</v>
      </c>
    </row>
    <row r="6" spans="2:21" x14ac:dyDescent="0.3">
      <c r="B6" s="173" t="str">
        <f>Members!B8</f>
        <v>Beneficiary</v>
      </c>
      <c r="C6" s="174">
        <f>Members!E8</f>
        <v>9706160746189</v>
      </c>
      <c r="D6" s="174">
        <f>Members!F8</f>
        <v>1911140677086</v>
      </c>
      <c r="E6" s="174">
        <f>Members!G8</f>
        <v>0</v>
      </c>
      <c r="F6" s="72">
        <f>Members!H8</f>
        <v>34410</v>
      </c>
      <c r="G6" s="71" t="str">
        <f>Members!I8</f>
        <v>Female</v>
      </c>
      <c r="H6" s="71" t="str">
        <f>Members!J8</f>
        <v/>
      </c>
      <c r="I6" s="72">
        <f>Members!K8</f>
        <v>46082</v>
      </c>
      <c r="J6" s="73">
        <f t="shared" si="1"/>
        <v>32</v>
      </c>
      <c r="K6" s="74">
        <f>IFERROR(IF(OR(B6=0,Table3[[#This Row],[Age]]=0,Table3[[#This Row],[Member Type]]="Beneficiary"),0,
IF(B6="Main Member",VLOOKUP(J6,Rate_MM,5),
IF(B6="Spouse",VLOOKUP(J6,Rate_SP,5),
IF(B6="Extended",VLOOKUP(J6,Rate_EXT,5),
IF(B6="Parent",VLOOKUP(J6,Rate_PAR,5),
IF(B6="Child",VLOOKUP(J6,Rate_CH,5))))))),0)</f>
        <v>0</v>
      </c>
      <c r="L6" s="74">
        <f>IFERROR(IF(OR(B6=0,Table3[[#This Row],[Age]]=0,Table3[[#This Row],[Member Type]]="Beneficiary"),0,
IF(B6="Main Member",VLOOKUP(J6,Rate_MM,4),
IF(B6="Spouse",VLOOKUP(J6,Rate_SP,4),
IF(B6="Extended",VLOOKUP(J6,Rate_EXT,4),
IF(B6="Parent",VLOOKUP(J6,Rate_PAR,4),
IF(B6="Child",VLOOKUP(J6,Rate_CH,4))))))),0)</f>
        <v>0</v>
      </c>
      <c r="M6" s="75">
        <f>Members!N8</f>
        <v>0</v>
      </c>
      <c r="N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 s="165">
        <f>IF(Table3[[#This Row],[Member Type]]="Child",COUNTIFS($B$3:$B$98,"Child",$C$3:$C$98,Table3[[#This Row],[Main Member Link ID]])-COUNTIFS($B7:$B$98,"Child",$C7:$C$98,Table3[[#This Row],[Main Member Link ID]]),
IF(Table3[[#This Row],[Member Type]]="Extended",COUNTIFS($B$3:$B$98,"Extended",$C$3:$C$98,Table3[[#This Row],[Main Member Link ID]])-COUNTIFS($B7:$B$98,"Extended",$C7:$C$98,Table3[[#This Row],[Main Member Link ID]]),
IF(Table3[[#This Row],[Member Type]]="Parent",COUNTIFS($B$3:$B$98,"Parent",$C$3:$C$98,Table3[[#This Row],[Main Member Link ID]])-COUNTIFS($B7:$B$98,"Parent",$C7:$C$98,Table3[[#This Row],[Main Member Link ID]]),
IF(Table3[[#This Row],[Member Type]]="Spouse",COUNTIFS($B$3:$B$98,"Spouse",$C$3:$C$98,Table3[[#This Row],[Main Member Link ID]])-COUNTIFS($B7:$B$98,"Spouse",$C7:$C$98,Table3[[#This Row],[Main Member Link ID]]),
IF(Table3[[#This Row],[Member Type]]="Main Member",COUNTIFS($B$3:$B$98,"Main Member",$C$3:$C$98,Table3[[#This Row],[Main Member Link ID]])-COUNTIFS($B7:$B$98,"Main Member",$C7:$C$98,Table3[[#This Row],[Main Member Link ID]]),
IF(Table3[[#This Row],[Member Type]]="Beneficiary",COUNTIFS($B$3:$B$98,"Beneficiary",$C$3:$C$98,Table3[[#This Row],[Main Member Link ID]])-COUNTIFS($B7:$B$98,"Beneficiary",$C7:$C$98,Table3[[#This Row],[Main Member Link ID]]),0))))))</f>
        <v>2</v>
      </c>
      <c r="Q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 s="166">
        <f>IF(Table3[[#This Row],[Member Type]]="Child",Table3[[#This Row],[Rate per 10,000]]/10000*Table3[[#This Row],[Cover Amount]],0)</f>
        <v>0</v>
      </c>
      <c r="S6" s="165">
        <f>IF(Table3[[#This Row],[Member Type]]="Child",COUNTIFS(Table3[Each Child Premium],Table3[[#This Row],[Each Child Premium]],Table3[Main Member Link ID],Table3[[#This Row],[Main Member Link ID]]),0)</f>
        <v>0</v>
      </c>
      <c r="T6" s="165" t="str">
        <f>IF(Table3[[#This Row],[No. of Child with same Cover Amont under a policy]]=0,"",IF(Table3[[#This Row],[Each Child Premium]]&gt;=_xlfn.MAXIFS(Table3[Each Child Premium],Table3[Main Member Link ID],Table3[[#This Row],[Main Member Link ID]]),"Yes",""))</f>
        <v/>
      </c>
      <c r="U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policy]]&gt;1,J6=_xlfn.MINIFS(Table3[Age],Table3[Member Type],"Child",Table3[Main Member Link ID],Table3[[#This Row],[Main Member Link ID]],Table3[No. of Child with same Cover Amont under a policy],Table3[[#This Row],[No. of Child with same Cover Amont under a policy]])),1,0)),0)</f>
        <v>0</v>
      </c>
    </row>
    <row r="7" spans="2:21" x14ac:dyDescent="0.3">
      <c r="B7" s="173" t="str">
        <f>Members!B9</f>
        <v>Beneficiary</v>
      </c>
      <c r="C7" s="174">
        <f>Members!E9</f>
        <v>9706160746189</v>
      </c>
      <c r="D7" s="174" t="str">
        <f>Members!F9</f>
        <v>0305013634087</v>
      </c>
      <c r="E7" s="174">
        <f>Members!G9</f>
        <v>0</v>
      </c>
      <c r="F7" s="72">
        <f>Members!H9</f>
        <v>37742</v>
      </c>
      <c r="G7" s="71" t="str">
        <f>Members!I9</f>
        <v>Female</v>
      </c>
      <c r="H7" s="71" t="str">
        <f>Members!J9</f>
        <v/>
      </c>
      <c r="I7" s="72">
        <f>Members!K9</f>
        <v>46082</v>
      </c>
      <c r="J7" s="73">
        <f t="shared" si="1"/>
        <v>23</v>
      </c>
      <c r="K7" s="74">
        <f>IFERROR(IF(OR(B7=0,Table3[[#This Row],[Age]]=0,Table3[[#This Row],[Member Type]]="Beneficiary"),0,
IF(B7="Main Member",VLOOKUP(J7,Rate_MM,5),
IF(B7="Spouse",VLOOKUP(J7,Rate_SP,5),
IF(B7="Extended",VLOOKUP(J7,Rate_EXT,5),
IF(B7="Parent",VLOOKUP(J7,Rate_PAR,5),
IF(B7="Child",VLOOKUP(J7,Rate_CH,5))))))),0)</f>
        <v>0</v>
      </c>
      <c r="L7" s="74">
        <f>IFERROR(IF(OR(B7=0,Table3[[#This Row],[Age]]=0,Table3[[#This Row],[Member Type]]="Beneficiary"),0,
IF(B7="Main Member",VLOOKUP(J7,Rate_MM,4),
IF(B7="Spouse",VLOOKUP(J7,Rate_SP,4),
IF(B7="Extended",VLOOKUP(J7,Rate_EXT,4),
IF(B7="Parent",VLOOKUP(J7,Rate_PAR,4),
IF(B7="Child",VLOOKUP(J7,Rate_CH,4))))))),0)</f>
        <v>0</v>
      </c>
      <c r="M7" s="75">
        <f>Members!N9</f>
        <v>0</v>
      </c>
      <c r="N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 s="165">
        <f>IF(Table3[[#This Row],[Member Type]]="Child",COUNTIFS($B$3:$B$98,"Child",$C$3:$C$98,Table3[[#This Row],[Main Member Link ID]])-COUNTIFS($B8:$B$98,"Child",$C8:$C$98,Table3[[#This Row],[Main Member Link ID]]),
IF(Table3[[#This Row],[Member Type]]="Extended",COUNTIFS($B$3:$B$98,"Extended",$C$3:$C$98,Table3[[#This Row],[Main Member Link ID]])-COUNTIFS($B8:$B$98,"Extended",$C8:$C$98,Table3[[#This Row],[Main Member Link ID]]),
IF(Table3[[#This Row],[Member Type]]="Parent",COUNTIFS($B$3:$B$98,"Parent",$C$3:$C$98,Table3[[#This Row],[Main Member Link ID]])-COUNTIFS($B8:$B$98,"Parent",$C8:$C$98,Table3[[#This Row],[Main Member Link ID]]),
IF(Table3[[#This Row],[Member Type]]="Spouse",COUNTIFS($B$3:$B$98,"Spouse",$C$3:$C$98,Table3[[#This Row],[Main Member Link ID]])-COUNTIFS($B8:$B$98,"Spouse",$C8:$C$98,Table3[[#This Row],[Main Member Link ID]]),
IF(Table3[[#This Row],[Member Type]]="Main Member",COUNTIFS($B$3:$B$98,"Main Member",$C$3:$C$98,Table3[[#This Row],[Main Member Link ID]])-COUNTIFS($B8:$B$98,"Main Member",$C8:$C$98,Table3[[#This Row],[Main Member Link ID]]),
IF(Table3[[#This Row],[Member Type]]="Beneficiary",COUNTIFS($B$3:$B$98,"Beneficiary",$C$3:$C$98,Table3[[#This Row],[Main Member Link ID]])-COUNTIFS($B8:$B$98,"Beneficiary",$C8:$C$98,Table3[[#This Row],[Main Member Link ID]]),0))))))</f>
        <v>3</v>
      </c>
      <c r="Q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 s="166">
        <f>IF(Table3[[#This Row],[Member Type]]="Child",Table3[[#This Row],[Rate per 10,000]]/10000*Table3[[#This Row],[Cover Amount]],0)</f>
        <v>0</v>
      </c>
      <c r="S7" s="165">
        <f>IF(Table3[[#This Row],[Member Type]]="Child",COUNTIFS(Table3[Each Child Premium],Table3[[#This Row],[Each Child Premium]],Table3[Main Member Link ID],Table3[[#This Row],[Main Member Link ID]]),0)</f>
        <v>0</v>
      </c>
      <c r="T7" s="165" t="str">
        <f>IF(Table3[[#This Row],[No. of Child with same Cover Amont under a policy]]=0,"",IF(Table3[[#This Row],[Each Child Premium]]&gt;=_xlfn.MAXIFS(Table3[Each Child Premium],Table3[Main Member Link ID],Table3[[#This Row],[Main Member Link ID]]),"Yes",""))</f>
        <v/>
      </c>
      <c r="U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policy]]&gt;1,J7=_xlfn.MINIFS(Table3[Age],Table3[Member Type],"Child",Table3[Main Member Link ID],Table3[[#This Row],[Main Member Link ID]],Table3[No. of Child with same Cover Amont under a policy],Table3[[#This Row],[No. of Child with same Cover Amont under a policy]])),1,0)),0)</f>
        <v>0</v>
      </c>
    </row>
    <row r="8" spans="2:21" x14ac:dyDescent="0.3">
      <c r="B8" s="173" t="str">
        <f>Members!B10</f>
        <v>Beneficiary</v>
      </c>
      <c r="C8" s="174">
        <f>Members!E10</f>
        <v>9706160746189</v>
      </c>
      <c r="D8" s="174">
        <f>Members!F10</f>
        <v>8801019952186</v>
      </c>
      <c r="E8" s="174">
        <f>Members!G10</f>
        <v>0</v>
      </c>
      <c r="F8" s="72">
        <f>Members!H10</f>
        <v>28927</v>
      </c>
      <c r="G8" s="71" t="str">
        <f>Members!I10</f>
        <v>Male</v>
      </c>
      <c r="H8" s="71" t="str">
        <f>Members!J10</f>
        <v/>
      </c>
      <c r="I8" s="72">
        <f>Members!K10</f>
        <v>46082</v>
      </c>
      <c r="J8" s="73">
        <f t="shared" si="1"/>
        <v>47</v>
      </c>
      <c r="K8" s="74">
        <f>IFERROR(IF(OR(B8=0,Table3[[#This Row],[Age]]=0,Table3[[#This Row],[Member Type]]="Beneficiary"),0,
IF(B8="Main Member",VLOOKUP(J8,Rate_MM,5),
IF(B8="Spouse",VLOOKUP(J8,Rate_SP,5),
IF(B8="Extended",VLOOKUP(J8,Rate_EXT,5),
IF(B8="Parent",VLOOKUP(J8,Rate_PAR,5),
IF(B8="Child",VLOOKUP(J8,Rate_CH,5))))))),0)</f>
        <v>0</v>
      </c>
      <c r="L8" s="74">
        <f>IFERROR(IF(OR(B8=0,Table3[[#This Row],[Age]]=0,Table3[[#This Row],[Member Type]]="Beneficiary"),0,
IF(B8="Main Member",VLOOKUP(J8,Rate_MM,4),
IF(B8="Spouse",VLOOKUP(J8,Rate_SP,4),
IF(B8="Extended",VLOOKUP(J8,Rate_EXT,4),
IF(B8="Parent",VLOOKUP(J8,Rate_PAR,4),
IF(B8="Child",VLOOKUP(J8,Rate_CH,4))))))),0)</f>
        <v>0</v>
      </c>
      <c r="M8" s="75">
        <f>Members!N10</f>
        <v>0</v>
      </c>
      <c r="N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 s="165">
        <f>IF(Table3[[#This Row],[Member Type]]="Child",COUNTIFS($B$3:$B$98,"Child",$C$3:$C$98,Table3[[#This Row],[Main Member Link ID]])-COUNTIFS($B9:$B$98,"Child",$C9:$C$98,Table3[[#This Row],[Main Member Link ID]]),
IF(Table3[[#This Row],[Member Type]]="Extended",COUNTIFS($B$3:$B$98,"Extended",$C$3:$C$98,Table3[[#This Row],[Main Member Link ID]])-COUNTIFS($B9:$B$98,"Extended",$C9:$C$98,Table3[[#This Row],[Main Member Link ID]]),
IF(Table3[[#This Row],[Member Type]]="Parent",COUNTIFS($B$3:$B$98,"Parent",$C$3:$C$98,Table3[[#This Row],[Main Member Link ID]])-COUNTIFS($B9:$B$98,"Parent",$C9:$C$98,Table3[[#This Row],[Main Member Link ID]]),
IF(Table3[[#This Row],[Member Type]]="Spouse",COUNTIFS($B$3:$B$98,"Spouse",$C$3:$C$98,Table3[[#This Row],[Main Member Link ID]])-COUNTIFS($B9:$B$98,"Spouse",$C9:$C$98,Table3[[#This Row],[Main Member Link ID]]),
IF(Table3[[#This Row],[Member Type]]="Main Member",COUNTIFS($B$3:$B$98,"Main Member",$C$3:$C$98,Table3[[#This Row],[Main Member Link ID]])-COUNTIFS($B9:$B$98,"Main Member",$C9:$C$98,Table3[[#This Row],[Main Member Link ID]]),
IF(Table3[[#This Row],[Member Type]]="Beneficiary",COUNTIFS($B$3:$B$98,"Beneficiary",$C$3:$C$98,Table3[[#This Row],[Main Member Link ID]])-COUNTIFS($B9:$B$98,"Beneficiary",$C9:$C$98,Table3[[#This Row],[Main Member Link ID]]),0))))))</f>
        <v>4</v>
      </c>
      <c r="Q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 s="166">
        <f>IF(Table3[[#This Row],[Member Type]]="Child",Table3[[#This Row],[Rate per 10,000]]/10000*Table3[[#This Row],[Cover Amount]],0)</f>
        <v>0</v>
      </c>
      <c r="S8" s="165">
        <f>IF(Table3[[#This Row],[Member Type]]="Child",COUNTIFS(Table3[Each Child Premium],Table3[[#This Row],[Each Child Premium]],Table3[Main Member Link ID],Table3[[#This Row],[Main Member Link ID]]),0)</f>
        <v>0</v>
      </c>
      <c r="T8" s="165" t="str">
        <f>IF(Table3[[#This Row],[No. of Child with same Cover Amont under a policy]]=0,"",IF(Table3[[#This Row],[Each Child Premium]]&gt;=_xlfn.MAXIFS(Table3[Each Child Premium],Table3[Main Member Link ID],Table3[[#This Row],[Main Member Link ID]]),"Yes",""))</f>
        <v/>
      </c>
      <c r="U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policy]]&gt;1,J8=_xlfn.MINIFS(Table3[Age],Table3[Member Type],"Child",Table3[Main Member Link ID],Table3[[#This Row],[Main Member Link ID]],Table3[No. of Child with same Cover Amont under a policy],Table3[[#This Row],[No. of Child with same Cover Amont under a policy]])),1,0)),0)</f>
        <v>0</v>
      </c>
    </row>
    <row r="9" spans="2:21" x14ac:dyDescent="0.3">
      <c r="B9" s="173" t="str">
        <f>Members!B11</f>
        <v>Beneficiary</v>
      </c>
      <c r="C9" s="174">
        <f>Members!E11</f>
        <v>9706160746189</v>
      </c>
      <c r="D9" s="174" t="str">
        <f>Members!F11</f>
        <v>0701013729085</v>
      </c>
      <c r="E9" s="174">
        <f>Members!G11</f>
        <v>0</v>
      </c>
      <c r="F9" s="72">
        <f>Members!H11</f>
        <v>39083</v>
      </c>
      <c r="G9" s="71" t="str">
        <f>Members!I11</f>
        <v>Female</v>
      </c>
      <c r="H9" s="71" t="str">
        <f>Members!J11</f>
        <v/>
      </c>
      <c r="I9" s="72">
        <f>Members!K11</f>
        <v>46082</v>
      </c>
      <c r="J9" s="73">
        <f t="shared" si="1"/>
        <v>20</v>
      </c>
      <c r="K9" s="74">
        <f>IFERROR(IF(OR(B9=0,Table3[[#This Row],[Age]]=0,Table3[[#This Row],[Member Type]]="Beneficiary"),0,
IF(B9="Main Member",VLOOKUP(J9,Rate_MM,5),
IF(B9="Spouse",VLOOKUP(J9,Rate_SP,5),
IF(B9="Extended",VLOOKUP(J9,Rate_EXT,5),
IF(B9="Parent",VLOOKUP(J9,Rate_PAR,5),
IF(B9="Child",VLOOKUP(J9,Rate_CH,5))))))),0)</f>
        <v>0</v>
      </c>
      <c r="L9" s="74">
        <f>IFERROR(IF(OR(B9=0,Table3[[#This Row],[Age]]=0,Table3[[#This Row],[Member Type]]="Beneficiary"),0,
IF(B9="Main Member",VLOOKUP(J9,Rate_MM,4),
IF(B9="Spouse",VLOOKUP(J9,Rate_SP,4),
IF(B9="Extended",VLOOKUP(J9,Rate_EXT,4),
IF(B9="Parent",VLOOKUP(J9,Rate_PAR,4),
IF(B9="Child",VLOOKUP(J9,Rate_CH,4))))))),0)</f>
        <v>0</v>
      </c>
      <c r="M9" s="75">
        <f>Members!N11</f>
        <v>0</v>
      </c>
      <c r="N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 s="165">
        <f>IF(Table3[[#This Row],[Member Type]]="Child",COUNTIFS($B$3:$B$98,"Child",$C$3:$C$98,Table3[[#This Row],[Main Member Link ID]])-COUNTIFS($B10:$B$98,"Child",$C10:$C$98,Table3[[#This Row],[Main Member Link ID]]),
IF(Table3[[#This Row],[Member Type]]="Extended",COUNTIFS($B$3:$B$98,"Extended",$C$3:$C$98,Table3[[#This Row],[Main Member Link ID]])-COUNTIFS($B10:$B$98,"Extended",$C10:$C$98,Table3[[#This Row],[Main Member Link ID]]),
IF(Table3[[#This Row],[Member Type]]="Parent",COUNTIFS($B$3:$B$98,"Parent",$C$3:$C$98,Table3[[#This Row],[Main Member Link ID]])-COUNTIFS($B10:$B$98,"Parent",$C10:$C$98,Table3[[#This Row],[Main Member Link ID]]),
IF(Table3[[#This Row],[Member Type]]="Spouse",COUNTIFS($B$3:$B$98,"Spouse",$C$3:$C$98,Table3[[#This Row],[Main Member Link ID]])-COUNTIFS($B10:$B$98,"Spouse",$C10:$C$98,Table3[[#This Row],[Main Member Link ID]]),
IF(Table3[[#This Row],[Member Type]]="Main Member",COUNTIFS($B$3:$B$98,"Main Member",$C$3:$C$98,Table3[[#This Row],[Main Member Link ID]])-COUNTIFS($B10:$B$98,"Main Member",$C10:$C$98,Table3[[#This Row],[Main Member Link ID]]),
IF(Table3[[#This Row],[Member Type]]="Beneficiary",COUNTIFS($B$3:$B$98,"Beneficiary",$C$3:$C$98,Table3[[#This Row],[Main Member Link ID]])-COUNTIFS($B10:$B$98,"Beneficiary",$C10:$C$98,Table3[[#This Row],[Main Member Link ID]]),0))))))</f>
        <v>5</v>
      </c>
      <c r="Q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 s="166">
        <f>IF(Table3[[#This Row],[Member Type]]="Child",Table3[[#This Row],[Rate per 10,000]]/10000*Table3[[#This Row],[Cover Amount]],0)</f>
        <v>0</v>
      </c>
      <c r="S9" s="165">
        <f>IF(Table3[[#This Row],[Member Type]]="Child",COUNTIFS(Table3[Each Child Premium],Table3[[#This Row],[Each Child Premium]],Table3[Main Member Link ID],Table3[[#This Row],[Main Member Link ID]]),0)</f>
        <v>0</v>
      </c>
      <c r="T9" s="165" t="str">
        <f>IF(Table3[[#This Row],[No. of Child with same Cover Amont under a policy]]=0,"",IF(Table3[[#This Row],[Each Child Premium]]&gt;=_xlfn.MAXIFS(Table3[Each Child Premium],Table3[Main Member Link ID],Table3[[#This Row],[Main Member Link ID]]),"Yes",""))</f>
        <v/>
      </c>
      <c r="U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policy]]&gt;1,J9=_xlfn.MINIFS(Table3[Age],Table3[Member Type],"Child",Table3[Main Member Link ID],Table3[[#This Row],[Main Member Link ID]],Table3[No. of Child with same Cover Amont under a policy],Table3[[#This Row],[No. of Child with same Cover Amont under a policy]])),1,0)),0)</f>
        <v>0</v>
      </c>
    </row>
    <row r="10" spans="2:21" x14ac:dyDescent="0.3">
      <c r="B10" s="173">
        <f>Members!B12</f>
        <v>0</v>
      </c>
      <c r="C10" s="174">
        <f>Members!E12</f>
        <v>0</v>
      </c>
      <c r="D10" s="174">
        <f>Members!F12</f>
        <v>0</v>
      </c>
      <c r="E10" s="174">
        <f>Members!G12</f>
        <v>0</v>
      </c>
      <c r="F10" s="72">
        <f>Members!H12</f>
        <v>0</v>
      </c>
      <c r="G10" s="71">
        <f>Members!I12</f>
        <v>0</v>
      </c>
      <c r="H10" s="71" t="str">
        <f>Members!J12</f>
        <v/>
      </c>
      <c r="I10" s="72">
        <f>Members!K12</f>
        <v>0</v>
      </c>
      <c r="J10" s="73">
        <f t="shared" si="1"/>
        <v>1</v>
      </c>
      <c r="K10" s="74">
        <f>IFERROR(IF(OR(B10=0,Table3[[#This Row],[Age]]=0,Table3[[#This Row],[Member Type]]="Beneficiary"),0,
IF(B10="Main Member",VLOOKUP(J10,Rate_MM,5),
IF(B10="Spouse",VLOOKUP(J10,Rate_SP,5),
IF(B10="Extended",VLOOKUP(J10,Rate_EXT,5),
IF(B10="Parent",VLOOKUP(J10,Rate_PAR,5),
IF(B10="Child",VLOOKUP(J10,Rate_CH,5))))))),0)</f>
        <v>0</v>
      </c>
      <c r="L10" s="74">
        <f>IFERROR(IF(OR(B10=0,Table3[[#This Row],[Age]]=0,Table3[[#This Row],[Member Type]]="Beneficiary"),0,
IF(B10="Main Member",VLOOKUP(J10,Rate_MM,4),
IF(B10="Spouse",VLOOKUP(J10,Rate_SP,4),
IF(B10="Extended",VLOOKUP(J10,Rate_EXT,4),
IF(B10="Parent",VLOOKUP(J10,Rate_PAR,4),
IF(B10="Child",VLOOKUP(J10,Rate_CH,4))))))),0)</f>
        <v>0</v>
      </c>
      <c r="M10" s="75">
        <f>Members!N12</f>
        <v>0</v>
      </c>
      <c r="N1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0" s="165">
        <f>IF(Table3[[#This Row],[Member Type]]="Child",COUNTIFS($B$3:$B$98,"Child",$C$3:$C$98,Table3[[#This Row],[Main Member Link ID]])-COUNTIFS($B11:$B$98,"Child",$C11:$C$98,Table3[[#This Row],[Main Member Link ID]]),
IF(Table3[[#This Row],[Member Type]]="Extended",COUNTIFS($B$3:$B$98,"Extended",$C$3:$C$98,Table3[[#This Row],[Main Member Link ID]])-COUNTIFS($B11:$B$98,"Extended",$C11:$C$98,Table3[[#This Row],[Main Member Link ID]]),
IF(Table3[[#This Row],[Member Type]]="Parent",COUNTIFS($B$3:$B$98,"Parent",$C$3:$C$98,Table3[[#This Row],[Main Member Link ID]])-COUNTIFS($B11:$B$98,"Parent",$C11:$C$98,Table3[[#This Row],[Main Member Link ID]]),
IF(Table3[[#This Row],[Member Type]]="Spouse",COUNTIFS($B$3:$B$98,"Spouse",$C$3:$C$98,Table3[[#This Row],[Main Member Link ID]])-COUNTIFS($B11:$B$98,"Spouse",$C11:$C$98,Table3[[#This Row],[Main Member Link ID]]),
IF(Table3[[#This Row],[Member Type]]="Main Member",COUNTIFS($B$3:$B$98,"Main Member",$C$3:$C$98,Table3[[#This Row],[Main Member Link ID]])-COUNTIFS($B11:$B$98,"Main Member",$C11:$C$98,Table3[[#This Row],[Main Member Link ID]]),
IF(Table3[[#This Row],[Member Type]]="Beneficiary",COUNTIFS($B$3:$B$98,"Beneficiary",$C$3:$C$98,Table3[[#This Row],[Main Member Link ID]])-COUNTIFS($B11:$B$98,"Beneficiary",$C11:$C$98,Table3[[#This Row],[Main Member Link ID]]),0))))))</f>
        <v>0</v>
      </c>
      <c r="Q1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0" s="166">
        <f>IF(Table3[[#This Row],[Member Type]]="Child",Table3[[#This Row],[Rate per 10,000]]/10000*Table3[[#This Row],[Cover Amount]],0)</f>
        <v>0</v>
      </c>
      <c r="S10" s="165">
        <f>IF(Table3[[#This Row],[Member Type]]="Child",COUNTIFS(Table3[Each Child Premium],Table3[[#This Row],[Each Child Premium]],Table3[Main Member Link ID],Table3[[#This Row],[Main Member Link ID]]),0)</f>
        <v>0</v>
      </c>
      <c r="T10" s="165" t="str">
        <f>IF(Table3[[#This Row],[No. of Child with same Cover Amont under a policy]]=0,"",IF(Table3[[#This Row],[Each Child Premium]]&gt;=_xlfn.MAXIFS(Table3[Each Child Premium],Table3[Main Member Link ID],Table3[[#This Row],[Main Member Link ID]]),"Yes",""))</f>
        <v/>
      </c>
      <c r="U1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policy]]&gt;1,J10=_xlfn.MINIFS(Table3[Age],Table3[Member Type],"Child",Table3[Main Member Link ID],Table3[[#This Row],[Main Member Link ID]],Table3[No. of Child with same Cover Amont under a policy],Table3[[#This Row],[No. of Child with same Cover Amont under a policy]])),1,0)),0)</f>
        <v>0</v>
      </c>
    </row>
    <row r="11" spans="2:21" x14ac:dyDescent="0.3">
      <c r="B11" s="173">
        <f>Members!B13</f>
        <v>0</v>
      </c>
      <c r="C11" s="174">
        <f>Members!E13</f>
        <v>0</v>
      </c>
      <c r="D11" s="174">
        <f>Members!F13</f>
        <v>0</v>
      </c>
      <c r="E11" s="174">
        <f>Members!G13</f>
        <v>0</v>
      </c>
      <c r="F11" s="72">
        <f>Members!H13</f>
        <v>0</v>
      </c>
      <c r="G11" s="71">
        <f>Members!I13</f>
        <v>0</v>
      </c>
      <c r="H11" s="71" t="str">
        <f>Members!J13</f>
        <v/>
      </c>
      <c r="I11" s="72">
        <f>Members!K13</f>
        <v>0</v>
      </c>
      <c r="J11" s="73">
        <f t="shared" si="1"/>
        <v>1</v>
      </c>
      <c r="K11" s="74">
        <f>IFERROR(IF(OR(B11=0,Table3[[#This Row],[Age]]=0,Table3[[#This Row],[Member Type]]="Beneficiary"),0,
IF(B11="Main Member",VLOOKUP(J11,Rate_MM,5),
IF(B11="Spouse",VLOOKUP(J11,Rate_SP,5),
IF(B11="Extended",VLOOKUP(J11,Rate_EXT,5),
IF(B11="Parent",VLOOKUP(J11,Rate_PAR,5),
IF(B11="Child",VLOOKUP(J11,Rate_CH,5))))))),0)</f>
        <v>0</v>
      </c>
      <c r="L11" s="74">
        <f>IFERROR(IF(OR(B11=0,Table3[[#This Row],[Age]]=0,Table3[[#This Row],[Member Type]]="Beneficiary"),0,
IF(B11="Main Member",VLOOKUP(J11,Rate_MM,4),
IF(B11="Spouse",VLOOKUP(J11,Rate_SP,4),
IF(B11="Extended",VLOOKUP(J11,Rate_EXT,4),
IF(B11="Parent",VLOOKUP(J11,Rate_PAR,4),
IF(B11="Child",VLOOKUP(J11,Rate_CH,4))))))),0)</f>
        <v>0</v>
      </c>
      <c r="M11" s="75">
        <f>Members!N13</f>
        <v>0</v>
      </c>
      <c r="N1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1" s="165">
        <f>IF(Table3[[#This Row],[Member Type]]="Child",COUNTIFS($B$3:$B$98,"Child",$C$3:$C$98,Table3[[#This Row],[Main Member Link ID]])-COUNTIFS($B12:$B$98,"Child",$C12:$C$98,Table3[[#This Row],[Main Member Link ID]]),
IF(Table3[[#This Row],[Member Type]]="Extended",COUNTIFS($B$3:$B$98,"Extended",$C$3:$C$98,Table3[[#This Row],[Main Member Link ID]])-COUNTIFS($B12:$B$98,"Extended",$C12:$C$98,Table3[[#This Row],[Main Member Link ID]]),
IF(Table3[[#This Row],[Member Type]]="Parent",COUNTIFS($B$3:$B$98,"Parent",$C$3:$C$98,Table3[[#This Row],[Main Member Link ID]])-COUNTIFS($B12:$B$98,"Parent",$C12:$C$98,Table3[[#This Row],[Main Member Link ID]]),
IF(Table3[[#This Row],[Member Type]]="Spouse",COUNTIFS($B$3:$B$98,"Spouse",$C$3:$C$98,Table3[[#This Row],[Main Member Link ID]])-COUNTIFS($B12:$B$98,"Spouse",$C12:$C$98,Table3[[#This Row],[Main Member Link ID]]),
IF(Table3[[#This Row],[Member Type]]="Main Member",COUNTIFS($B$3:$B$98,"Main Member",$C$3:$C$98,Table3[[#This Row],[Main Member Link ID]])-COUNTIFS($B12:$B$98,"Main Member",$C12:$C$98,Table3[[#This Row],[Main Member Link ID]]),
IF(Table3[[#This Row],[Member Type]]="Beneficiary",COUNTIFS($B$3:$B$98,"Beneficiary",$C$3:$C$98,Table3[[#This Row],[Main Member Link ID]])-COUNTIFS($B12:$B$98,"Beneficiary",$C12:$C$98,Table3[[#This Row],[Main Member Link ID]]),0))))))</f>
        <v>0</v>
      </c>
      <c r="Q1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1" s="166">
        <f>IF(Table3[[#This Row],[Member Type]]="Child",Table3[[#This Row],[Rate per 10,000]]/10000*Table3[[#This Row],[Cover Amount]],0)</f>
        <v>0</v>
      </c>
      <c r="S11" s="165">
        <f>IF(Table3[[#This Row],[Member Type]]="Child",COUNTIFS(Table3[Each Child Premium],Table3[[#This Row],[Each Child Premium]],Table3[Main Member Link ID],Table3[[#This Row],[Main Member Link ID]]),0)</f>
        <v>0</v>
      </c>
      <c r="T11" s="165" t="str">
        <f>IF(Table3[[#This Row],[No. of Child with same Cover Amont under a policy]]=0,"",IF(Table3[[#This Row],[Each Child Premium]]&gt;=_xlfn.MAXIFS(Table3[Each Child Premium],Table3[Main Member Link ID],Table3[[#This Row],[Main Member Link ID]]),"Yes",""))</f>
        <v/>
      </c>
      <c r="U1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policy]]&gt;1,J11=_xlfn.MINIFS(Table3[Age],Table3[Member Type],"Child",Table3[Main Member Link ID],Table3[[#This Row],[Main Member Link ID]],Table3[No. of Child with same Cover Amont under a policy],Table3[[#This Row],[No. of Child with same Cover Amont under a policy]])),1,0)),0)</f>
        <v>0</v>
      </c>
    </row>
    <row r="12" spans="2:21" x14ac:dyDescent="0.3">
      <c r="B12" s="173">
        <f>Members!B14</f>
        <v>0</v>
      </c>
      <c r="C12" s="174">
        <f>Members!E14</f>
        <v>0</v>
      </c>
      <c r="D12" s="174">
        <f>Members!F14</f>
        <v>0</v>
      </c>
      <c r="E12" s="174">
        <f>Members!G14</f>
        <v>0</v>
      </c>
      <c r="F12" s="72">
        <f>Members!H14</f>
        <v>0</v>
      </c>
      <c r="G12" s="71">
        <f>Members!I14</f>
        <v>0</v>
      </c>
      <c r="H12" s="71" t="str">
        <f>Members!J14</f>
        <v/>
      </c>
      <c r="I12" s="72">
        <f>Members!K14</f>
        <v>0</v>
      </c>
      <c r="J12" s="73">
        <f t="shared" si="1"/>
        <v>1</v>
      </c>
      <c r="K12" s="74">
        <f>IFERROR(IF(OR(B12=0,Table3[[#This Row],[Age]]=0,Table3[[#This Row],[Member Type]]="Beneficiary"),0,
IF(B12="Main Member",VLOOKUP(J12,Rate_MM,5),
IF(B12="Spouse",VLOOKUP(J12,Rate_SP,5),
IF(B12="Extended",VLOOKUP(J12,Rate_EXT,5),
IF(B12="Parent",VLOOKUP(J12,Rate_PAR,5),
IF(B12="Child",VLOOKUP(J12,Rate_CH,5))))))),0)</f>
        <v>0</v>
      </c>
      <c r="L12" s="74">
        <f>IFERROR(IF(OR(B12=0,Table3[[#This Row],[Age]]=0,Table3[[#This Row],[Member Type]]="Beneficiary"),0,
IF(B12="Main Member",VLOOKUP(J12,Rate_MM,4),
IF(B12="Spouse",VLOOKUP(J12,Rate_SP,4),
IF(B12="Extended",VLOOKUP(J12,Rate_EXT,4),
IF(B12="Parent",VLOOKUP(J12,Rate_PAR,4),
IF(B12="Child",VLOOKUP(J12,Rate_CH,4))))))),0)</f>
        <v>0</v>
      </c>
      <c r="M12" s="75">
        <f>Members!N14</f>
        <v>0</v>
      </c>
      <c r="N1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2" s="165">
        <f>IF(Table3[[#This Row],[Member Type]]="Child",COUNTIFS($B$3:$B$98,"Child",$C$3:$C$98,Table3[[#This Row],[Main Member Link ID]])-COUNTIFS($B13:$B$98,"Child",$C13:$C$98,Table3[[#This Row],[Main Member Link ID]]),
IF(Table3[[#This Row],[Member Type]]="Extended",COUNTIFS($B$3:$B$98,"Extended",$C$3:$C$98,Table3[[#This Row],[Main Member Link ID]])-COUNTIFS($B13:$B$98,"Extended",$C13:$C$98,Table3[[#This Row],[Main Member Link ID]]),
IF(Table3[[#This Row],[Member Type]]="Parent",COUNTIFS($B$3:$B$98,"Parent",$C$3:$C$98,Table3[[#This Row],[Main Member Link ID]])-COUNTIFS($B13:$B$98,"Parent",$C13:$C$98,Table3[[#This Row],[Main Member Link ID]]),
IF(Table3[[#This Row],[Member Type]]="Spouse",COUNTIFS($B$3:$B$98,"Spouse",$C$3:$C$98,Table3[[#This Row],[Main Member Link ID]])-COUNTIFS($B13:$B$98,"Spouse",$C13:$C$98,Table3[[#This Row],[Main Member Link ID]]),
IF(Table3[[#This Row],[Member Type]]="Main Member",COUNTIFS($B$3:$B$98,"Main Member",$C$3:$C$98,Table3[[#This Row],[Main Member Link ID]])-COUNTIFS($B13:$B$98,"Main Member",$C13:$C$98,Table3[[#This Row],[Main Member Link ID]]),
IF(Table3[[#This Row],[Member Type]]="Beneficiary",COUNTIFS($B$3:$B$98,"Beneficiary",$C$3:$C$98,Table3[[#This Row],[Main Member Link ID]])-COUNTIFS($B13:$B$98,"Beneficiary",$C13:$C$98,Table3[[#This Row],[Main Member Link ID]]),0))))))</f>
        <v>0</v>
      </c>
      <c r="Q1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2" s="166">
        <f>IF(Table3[[#This Row],[Member Type]]="Child",Table3[[#This Row],[Rate per 10,000]]/10000*Table3[[#This Row],[Cover Amount]],0)</f>
        <v>0</v>
      </c>
      <c r="S12" s="165">
        <f>IF(Table3[[#This Row],[Member Type]]="Child",COUNTIFS(Table3[Each Child Premium],Table3[[#This Row],[Each Child Premium]],Table3[Main Member Link ID],Table3[[#This Row],[Main Member Link ID]]),0)</f>
        <v>0</v>
      </c>
      <c r="T12" s="165" t="str">
        <f>IF(Table3[[#This Row],[No. of Child with same Cover Amont under a policy]]=0,"",IF(Table3[[#This Row],[Each Child Premium]]&gt;=_xlfn.MAXIFS(Table3[Each Child Premium],Table3[Main Member Link ID],Table3[[#This Row],[Main Member Link ID]]),"Yes",""))</f>
        <v/>
      </c>
      <c r="U1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policy]]&gt;1,J12=_xlfn.MINIFS(Table3[Age],Table3[Member Type],"Child",Table3[Main Member Link ID],Table3[[#This Row],[Main Member Link ID]],Table3[No. of Child with same Cover Amont under a policy],Table3[[#This Row],[No. of Child with same Cover Amont under a policy]])),1,0)),0)</f>
        <v>0</v>
      </c>
    </row>
    <row r="13" spans="2:21" x14ac:dyDescent="0.3">
      <c r="B13" s="173">
        <f>Members!B15</f>
        <v>0</v>
      </c>
      <c r="C13" s="174">
        <f>Members!E15</f>
        <v>0</v>
      </c>
      <c r="D13" s="174">
        <f>Members!F15</f>
        <v>0</v>
      </c>
      <c r="E13" s="174">
        <f>Members!G15</f>
        <v>0</v>
      </c>
      <c r="F13" s="72">
        <f>Members!H15</f>
        <v>0</v>
      </c>
      <c r="G13" s="71">
        <f>Members!I15</f>
        <v>0</v>
      </c>
      <c r="H13" s="71" t="str">
        <f>Members!J15</f>
        <v/>
      </c>
      <c r="I13" s="72">
        <f>Members!K15</f>
        <v>0</v>
      </c>
      <c r="J13" s="73">
        <f t="shared" si="1"/>
        <v>1</v>
      </c>
      <c r="K13" s="74">
        <f>IFERROR(IF(OR(B13=0,Table3[[#This Row],[Age]]=0,Table3[[#This Row],[Member Type]]="Beneficiary"),0,
IF(B13="Main Member",VLOOKUP(J13,Rate_MM,5),
IF(B13="Spouse",VLOOKUP(J13,Rate_SP,5),
IF(B13="Extended",VLOOKUP(J13,Rate_EXT,5),
IF(B13="Parent",VLOOKUP(J13,Rate_PAR,5),
IF(B13="Child",VLOOKUP(J13,Rate_CH,5))))))),0)</f>
        <v>0</v>
      </c>
      <c r="L13" s="74">
        <f>IFERROR(IF(OR(B13=0,Table3[[#This Row],[Age]]=0,Table3[[#This Row],[Member Type]]="Beneficiary"),0,
IF(B13="Main Member",VLOOKUP(J13,Rate_MM,4),
IF(B13="Spouse",VLOOKUP(J13,Rate_SP,4),
IF(B13="Extended",VLOOKUP(J13,Rate_EXT,4),
IF(B13="Parent",VLOOKUP(J13,Rate_PAR,4),
IF(B13="Child",VLOOKUP(J13,Rate_CH,4))))))),0)</f>
        <v>0</v>
      </c>
      <c r="M13" s="75">
        <f>Members!N15</f>
        <v>0</v>
      </c>
      <c r="N1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3" s="165">
        <f>IF(Table3[[#This Row],[Member Type]]="Child",COUNTIFS($B$3:$B$98,"Child",$C$3:$C$98,Table3[[#This Row],[Main Member Link ID]])-COUNTIFS($B14:$B$98,"Child",$C14:$C$98,Table3[[#This Row],[Main Member Link ID]]),
IF(Table3[[#This Row],[Member Type]]="Extended",COUNTIFS($B$3:$B$98,"Extended",$C$3:$C$98,Table3[[#This Row],[Main Member Link ID]])-COUNTIFS($B14:$B$98,"Extended",$C14:$C$98,Table3[[#This Row],[Main Member Link ID]]),
IF(Table3[[#This Row],[Member Type]]="Parent",COUNTIFS($B$3:$B$98,"Parent",$C$3:$C$98,Table3[[#This Row],[Main Member Link ID]])-COUNTIFS($B14:$B$98,"Parent",$C14:$C$98,Table3[[#This Row],[Main Member Link ID]]),
IF(Table3[[#This Row],[Member Type]]="Spouse",COUNTIFS($B$3:$B$98,"Spouse",$C$3:$C$98,Table3[[#This Row],[Main Member Link ID]])-COUNTIFS($B14:$B$98,"Spouse",$C14:$C$98,Table3[[#This Row],[Main Member Link ID]]),
IF(Table3[[#This Row],[Member Type]]="Main Member",COUNTIFS($B$3:$B$98,"Main Member",$C$3:$C$98,Table3[[#This Row],[Main Member Link ID]])-COUNTIFS($B14:$B$98,"Main Member",$C14:$C$98,Table3[[#This Row],[Main Member Link ID]]),
IF(Table3[[#This Row],[Member Type]]="Beneficiary",COUNTIFS($B$3:$B$98,"Beneficiary",$C$3:$C$98,Table3[[#This Row],[Main Member Link ID]])-COUNTIFS($B14:$B$98,"Beneficiary",$C14:$C$98,Table3[[#This Row],[Main Member Link ID]]),0))))))</f>
        <v>0</v>
      </c>
      <c r="Q1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3" s="166">
        <f>IF(Table3[[#This Row],[Member Type]]="Child",Table3[[#This Row],[Rate per 10,000]]/10000*Table3[[#This Row],[Cover Amount]],0)</f>
        <v>0</v>
      </c>
      <c r="S13" s="165">
        <f>IF(Table3[[#This Row],[Member Type]]="Child",COUNTIFS(Table3[Each Child Premium],Table3[[#This Row],[Each Child Premium]],Table3[Main Member Link ID],Table3[[#This Row],[Main Member Link ID]]),0)</f>
        <v>0</v>
      </c>
      <c r="T13" s="165" t="str">
        <f>IF(Table3[[#This Row],[No. of Child with same Cover Amont under a policy]]=0,"",IF(Table3[[#This Row],[Each Child Premium]]&gt;=_xlfn.MAXIFS(Table3[Each Child Premium],Table3[Main Member Link ID],Table3[[#This Row],[Main Member Link ID]]),"Yes",""))</f>
        <v/>
      </c>
      <c r="U1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policy]]&gt;1,J13=_xlfn.MINIFS(Table3[Age],Table3[Member Type],"Child",Table3[Main Member Link ID],Table3[[#This Row],[Main Member Link ID]],Table3[No. of Child with same Cover Amont under a policy],Table3[[#This Row],[No. of Child with same Cover Amont under a policy]])),1,0)),0)</f>
        <v>0</v>
      </c>
    </row>
    <row r="14" spans="2:21" x14ac:dyDescent="0.3">
      <c r="B14" s="173">
        <f>Members!B16</f>
        <v>0</v>
      </c>
      <c r="C14" s="174">
        <f>Members!E16</f>
        <v>0</v>
      </c>
      <c r="D14" s="174">
        <f>Members!F16</f>
        <v>0</v>
      </c>
      <c r="E14" s="174">
        <f>Members!G16</f>
        <v>0</v>
      </c>
      <c r="F14" s="72">
        <f>Members!H16</f>
        <v>0</v>
      </c>
      <c r="G14" s="71">
        <f>Members!I16</f>
        <v>0</v>
      </c>
      <c r="H14" s="71" t="str">
        <f>Members!J16</f>
        <v/>
      </c>
      <c r="I14" s="72">
        <f>Members!K16</f>
        <v>0</v>
      </c>
      <c r="J14" s="73">
        <f t="shared" si="1"/>
        <v>1</v>
      </c>
      <c r="K14" s="74">
        <f>IFERROR(IF(OR(B14=0,Table3[[#This Row],[Age]]=0,Table3[[#This Row],[Member Type]]="Beneficiary"),0,
IF(B14="Main Member",VLOOKUP(J14,Rate_MM,5),
IF(B14="Spouse",VLOOKUP(J14,Rate_SP,5),
IF(B14="Extended",VLOOKUP(J14,Rate_EXT,5),
IF(B14="Parent",VLOOKUP(J14,Rate_PAR,5),
IF(B14="Child",VLOOKUP(J14,Rate_CH,5))))))),0)</f>
        <v>0</v>
      </c>
      <c r="L14" s="74">
        <f>IFERROR(IF(OR(B14=0,Table3[[#This Row],[Age]]=0,Table3[[#This Row],[Member Type]]="Beneficiary"),0,
IF(B14="Main Member",VLOOKUP(J14,Rate_MM,4),
IF(B14="Spouse",VLOOKUP(J14,Rate_SP,4),
IF(B14="Extended",VLOOKUP(J14,Rate_EXT,4),
IF(B14="Parent",VLOOKUP(J14,Rate_PAR,4),
IF(B14="Child",VLOOKUP(J14,Rate_CH,4))))))),0)</f>
        <v>0</v>
      </c>
      <c r="M14" s="75">
        <f>Members!N16</f>
        <v>0</v>
      </c>
      <c r="N1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4" s="165">
        <f>IF(Table3[[#This Row],[Member Type]]="Child",COUNTIFS($B$3:$B$98,"Child",$C$3:$C$98,Table3[[#This Row],[Main Member Link ID]])-COUNTIFS($B15:$B$98,"Child",$C15:$C$98,Table3[[#This Row],[Main Member Link ID]]),
IF(Table3[[#This Row],[Member Type]]="Extended",COUNTIFS($B$3:$B$98,"Extended",$C$3:$C$98,Table3[[#This Row],[Main Member Link ID]])-COUNTIFS($B15:$B$98,"Extended",$C15:$C$98,Table3[[#This Row],[Main Member Link ID]]),
IF(Table3[[#This Row],[Member Type]]="Parent",COUNTIFS($B$3:$B$98,"Parent",$C$3:$C$98,Table3[[#This Row],[Main Member Link ID]])-COUNTIFS($B15:$B$98,"Parent",$C15:$C$98,Table3[[#This Row],[Main Member Link ID]]),
IF(Table3[[#This Row],[Member Type]]="Spouse",COUNTIFS($B$3:$B$98,"Spouse",$C$3:$C$98,Table3[[#This Row],[Main Member Link ID]])-COUNTIFS($B15:$B$98,"Spouse",$C15:$C$98,Table3[[#This Row],[Main Member Link ID]]),
IF(Table3[[#This Row],[Member Type]]="Main Member",COUNTIFS($B$3:$B$98,"Main Member",$C$3:$C$98,Table3[[#This Row],[Main Member Link ID]])-COUNTIFS($B15:$B$98,"Main Member",$C15:$C$98,Table3[[#This Row],[Main Member Link ID]]),
IF(Table3[[#This Row],[Member Type]]="Beneficiary",COUNTIFS($B$3:$B$98,"Beneficiary",$C$3:$C$98,Table3[[#This Row],[Main Member Link ID]])-COUNTIFS($B15:$B$98,"Beneficiary",$C15:$C$98,Table3[[#This Row],[Main Member Link ID]]),0))))))</f>
        <v>0</v>
      </c>
      <c r="Q1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4" s="166">
        <f>IF(Table3[[#This Row],[Member Type]]="Child",Table3[[#This Row],[Rate per 10,000]]/10000*Table3[[#This Row],[Cover Amount]],0)</f>
        <v>0</v>
      </c>
      <c r="S14" s="165">
        <f>IF(Table3[[#This Row],[Member Type]]="Child",COUNTIFS(Table3[Each Child Premium],Table3[[#This Row],[Each Child Premium]],Table3[Main Member Link ID],Table3[[#This Row],[Main Member Link ID]]),0)</f>
        <v>0</v>
      </c>
      <c r="T14" s="165" t="str">
        <f>IF(Table3[[#This Row],[No. of Child with same Cover Amont under a policy]]=0,"",IF(Table3[[#This Row],[Each Child Premium]]&gt;=_xlfn.MAXIFS(Table3[Each Child Premium],Table3[Main Member Link ID],Table3[[#This Row],[Main Member Link ID]]),"Yes",""))</f>
        <v/>
      </c>
      <c r="U1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policy]]&gt;1,J14=_xlfn.MINIFS(Table3[Age],Table3[Member Type],"Child",Table3[Main Member Link ID],Table3[[#This Row],[Main Member Link ID]],Table3[No. of Child with same Cover Amont under a policy],Table3[[#This Row],[No. of Child with same Cover Amont under a policy]])),1,0)),0)</f>
        <v>0</v>
      </c>
    </row>
    <row r="15" spans="2:21" x14ac:dyDescent="0.3">
      <c r="B15" s="173">
        <f>Members!B17</f>
        <v>0</v>
      </c>
      <c r="C15" s="174">
        <f>Members!E17</f>
        <v>0</v>
      </c>
      <c r="D15" s="174">
        <f>Members!F17</f>
        <v>0</v>
      </c>
      <c r="E15" s="174">
        <f>Members!G17</f>
        <v>0</v>
      </c>
      <c r="F15" s="72">
        <f>Members!H17</f>
        <v>0</v>
      </c>
      <c r="G15" s="71">
        <f>Members!I17</f>
        <v>0</v>
      </c>
      <c r="H15" s="71" t="str">
        <f>Members!J17</f>
        <v/>
      </c>
      <c r="I15" s="72">
        <f>Members!K17</f>
        <v>0</v>
      </c>
      <c r="J15" s="73">
        <f t="shared" si="1"/>
        <v>1</v>
      </c>
      <c r="K15" s="74">
        <f>IFERROR(IF(OR(B15=0,Table3[[#This Row],[Age]]=0,Table3[[#This Row],[Member Type]]="Beneficiary"),0,
IF(B15="Main Member",VLOOKUP(J15,Rate_MM,5),
IF(B15="Spouse",VLOOKUP(J15,Rate_SP,5),
IF(B15="Extended",VLOOKUP(J15,Rate_EXT,5),
IF(B15="Parent",VLOOKUP(J15,Rate_PAR,5),
IF(B15="Child",VLOOKUP(J15,Rate_CH,5))))))),0)</f>
        <v>0</v>
      </c>
      <c r="L15" s="74">
        <f>IFERROR(IF(OR(B15=0,Table3[[#This Row],[Age]]=0,Table3[[#This Row],[Member Type]]="Beneficiary"),0,
IF(B15="Main Member",VLOOKUP(J15,Rate_MM,4),
IF(B15="Spouse",VLOOKUP(J15,Rate_SP,4),
IF(B15="Extended",VLOOKUP(J15,Rate_EXT,4),
IF(B15="Parent",VLOOKUP(J15,Rate_PAR,4),
IF(B15="Child",VLOOKUP(J15,Rate_CH,4))))))),0)</f>
        <v>0</v>
      </c>
      <c r="M15" s="75">
        <f>Members!N17</f>
        <v>0</v>
      </c>
      <c r="N1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5" s="165">
        <f>IF(Table3[[#This Row],[Member Type]]="Child",COUNTIFS($B$3:$B$98,"Child",$C$3:$C$98,Table3[[#This Row],[Main Member Link ID]])-COUNTIFS($B16:$B$98,"Child",$C16:$C$98,Table3[[#This Row],[Main Member Link ID]]),
IF(Table3[[#This Row],[Member Type]]="Extended",COUNTIFS($B$3:$B$98,"Extended",$C$3:$C$98,Table3[[#This Row],[Main Member Link ID]])-COUNTIFS($B16:$B$98,"Extended",$C16:$C$98,Table3[[#This Row],[Main Member Link ID]]),
IF(Table3[[#This Row],[Member Type]]="Parent",COUNTIFS($B$3:$B$98,"Parent",$C$3:$C$98,Table3[[#This Row],[Main Member Link ID]])-COUNTIFS($B16:$B$98,"Parent",$C16:$C$98,Table3[[#This Row],[Main Member Link ID]]),
IF(Table3[[#This Row],[Member Type]]="Spouse",COUNTIFS($B$3:$B$98,"Spouse",$C$3:$C$98,Table3[[#This Row],[Main Member Link ID]])-COUNTIFS($B16:$B$98,"Spouse",$C16:$C$98,Table3[[#This Row],[Main Member Link ID]]),
IF(Table3[[#This Row],[Member Type]]="Main Member",COUNTIFS($B$3:$B$98,"Main Member",$C$3:$C$98,Table3[[#This Row],[Main Member Link ID]])-COUNTIFS($B16:$B$98,"Main Member",$C16:$C$98,Table3[[#This Row],[Main Member Link ID]]),
IF(Table3[[#This Row],[Member Type]]="Beneficiary",COUNTIFS($B$3:$B$98,"Beneficiary",$C$3:$C$98,Table3[[#This Row],[Main Member Link ID]])-COUNTIFS($B16:$B$98,"Beneficiary",$C16:$C$98,Table3[[#This Row],[Main Member Link ID]]),0))))))</f>
        <v>0</v>
      </c>
      <c r="Q1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5" s="166">
        <f>IF(Table3[[#This Row],[Member Type]]="Child",Table3[[#This Row],[Rate per 10,000]]/10000*Table3[[#This Row],[Cover Amount]],0)</f>
        <v>0</v>
      </c>
      <c r="S15" s="165">
        <f>IF(Table3[[#This Row],[Member Type]]="Child",COUNTIFS(Table3[Each Child Premium],Table3[[#This Row],[Each Child Premium]],Table3[Main Member Link ID],Table3[[#This Row],[Main Member Link ID]]),0)</f>
        <v>0</v>
      </c>
      <c r="T15" s="165" t="str">
        <f>IF(Table3[[#This Row],[No. of Child with same Cover Amont under a policy]]=0,"",IF(Table3[[#This Row],[Each Child Premium]]&gt;=_xlfn.MAXIFS(Table3[Each Child Premium],Table3[Main Member Link ID],Table3[[#This Row],[Main Member Link ID]]),"Yes",""))</f>
        <v/>
      </c>
      <c r="U1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policy]]&gt;1,J15=_xlfn.MINIFS(Table3[Age],Table3[Member Type],"Child",Table3[Main Member Link ID],Table3[[#This Row],[Main Member Link ID]],Table3[No. of Child with same Cover Amont under a policy],Table3[[#This Row],[No. of Child with same Cover Amont under a policy]])),1,0)),0)</f>
        <v>0</v>
      </c>
    </row>
    <row r="16" spans="2:21" x14ac:dyDescent="0.3">
      <c r="B16" s="173">
        <f>Members!B18</f>
        <v>0</v>
      </c>
      <c r="C16" s="174">
        <f>Members!E18</f>
        <v>0</v>
      </c>
      <c r="D16" s="174">
        <f>Members!F18</f>
        <v>0</v>
      </c>
      <c r="E16" s="174">
        <f>Members!G18</f>
        <v>0</v>
      </c>
      <c r="F16" s="72">
        <f>Members!H18</f>
        <v>0</v>
      </c>
      <c r="G16" s="71">
        <f>Members!I18</f>
        <v>0</v>
      </c>
      <c r="H16" s="71" t="str">
        <f>Members!J18</f>
        <v/>
      </c>
      <c r="I16" s="72">
        <f>Members!K18</f>
        <v>0</v>
      </c>
      <c r="J16" s="73">
        <f t="shared" si="1"/>
        <v>1</v>
      </c>
      <c r="K16" s="74">
        <f>IFERROR(IF(OR(B16=0,Table3[[#This Row],[Age]]=0,Table3[[#This Row],[Member Type]]="Beneficiary"),0,
IF(B16="Main Member",VLOOKUP(J16,Rate_MM,5),
IF(B16="Spouse",VLOOKUP(J16,Rate_SP,5),
IF(B16="Extended",VLOOKUP(J16,Rate_EXT,5),
IF(B16="Parent",VLOOKUP(J16,Rate_PAR,5),
IF(B16="Child",VLOOKUP(J16,Rate_CH,5))))))),0)</f>
        <v>0</v>
      </c>
      <c r="L16" s="74">
        <f>IFERROR(IF(OR(B16=0,Table3[[#This Row],[Age]]=0,Table3[[#This Row],[Member Type]]="Beneficiary"),0,
IF(B16="Main Member",VLOOKUP(J16,Rate_MM,4),
IF(B16="Spouse",VLOOKUP(J16,Rate_SP,4),
IF(B16="Extended",VLOOKUP(J16,Rate_EXT,4),
IF(B16="Parent",VLOOKUP(J16,Rate_PAR,4),
IF(B16="Child",VLOOKUP(J16,Rate_CH,4))))))),0)</f>
        <v>0</v>
      </c>
      <c r="M16" s="75">
        <f>Members!N18</f>
        <v>0</v>
      </c>
      <c r="N1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6" s="165">
        <f>IF(Table3[[#This Row],[Member Type]]="Child",COUNTIFS($B$3:$B$98,"Child",$C$3:$C$98,Table3[[#This Row],[Main Member Link ID]])-COUNTIFS($B17:$B$98,"Child",$C17:$C$98,Table3[[#This Row],[Main Member Link ID]]),
IF(Table3[[#This Row],[Member Type]]="Extended",COUNTIFS($B$3:$B$98,"Extended",$C$3:$C$98,Table3[[#This Row],[Main Member Link ID]])-COUNTIFS($B17:$B$98,"Extended",$C17:$C$98,Table3[[#This Row],[Main Member Link ID]]),
IF(Table3[[#This Row],[Member Type]]="Parent",COUNTIFS($B$3:$B$98,"Parent",$C$3:$C$98,Table3[[#This Row],[Main Member Link ID]])-COUNTIFS($B17:$B$98,"Parent",$C17:$C$98,Table3[[#This Row],[Main Member Link ID]]),
IF(Table3[[#This Row],[Member Type]]="Spouse",COUNTIFS($B$3:$B$98,"Spouse",$C$3:$C$98,Table3[[#This Row],[Main Member Link ID]])-COUNTIFS($B17:$B$98,"Spouse",$C17:$C$98,Table3[[#This Row],[Main Member Link ID]]),
IF(Table3[[#This Row],[Member Type]]="Main Member",COUNTIFS($B$3:$B$98,"Main Member",$C$3:$C$98,Table3[[#This Row],[Main Member Link ID]])-COUNTIFS($B17:$B$98,"Main Member",$C17:$C$98,Table3[[#This Row],[Main Member Link ID]]),
IF(Table3[[#This Row],[Member Type]]="Beneficiary",COUNTIFS($B$3:$B$98,"Beneficiary",$C$3:$C$98,Table3[[#This Row],[Main Member Link ID]])-COUNTIFS($B17:$B$98,"Beneficiary",$C17:$C$98,Table3[[#This Row],[Main Member Link ID]]),0))))))</f>
        <v>0</v>
      </c>
      <c r="Q1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6" s="166">
        <f>IF(Table3[[#This Row],[Member Type]]="Child",Table3[[#This Row],[Rate per 10,000]]/10000*Table3[[#This Row],[Cover Amount]],0)</f>
        <v>0</v>
      </c>
      <c r="S16" s="165">
        <f>IF(Table3[[#This Row],[Member Type]]="Child",COUNTIFS(Table3[Each Child Premium],Table3[[#This Row],[Each Child Premium]],Table3[Main Member Link ID],Table3[[#This Row],[Main Member Link ID]]),0)</f>
        <v>0</v>
      </c>
      <c r="T16" s="165" t="str">
        <f>IF(Table3[[#This Row],[No. of Child with same Cover Amont under a policy]]=0,"",IF(Table3[[#This Row],[Each Child Premium]]&gt;=_xlfn.MAXIFS(Table3[Each Child Premium],Table3[Main Member Link ID],Table3[[#This Row],[Main Member Link ID]]),"Yes",""))</f>
        <v/>
      </c>
      <c r="U1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policy]]&gt;1,J16=_xlfn.MINIFS(Table3[Age],Table3[Member Type],"Child",Table3[Main Member Link ID],Table3[[#This Row],[Main Member Link ID]],Table3[No. of Child with same Cover Amont under a policy],Table3[[#This Row],[No. of Child with same Cover Amont under a policy]])),1,0)),0)</f>
        <v>0</v>
      </c>
    </row>
    <row r="17" spans="2:21" x14ac:dyDescent="0.3">
      <c r="B17" s="173">
        <f>Members!B19</f>
        <v>0</v>
      </c>
      <c r="C17" s="174">
        <f>Members!E19</f>
        <v>0</v>
      </c>
      <c r="D17" s="174">
        <f>Members!F19</f>
        <v>0</v>
      </c>
      <c r="E17" s="174">
        <f>Members!G19</f>
        <v>0</v>
      </c>
      <c r="F17" s="72">
        <f>Members!H19</f>
        <v>0</v>
      </c>
      <c r="G17" s="71">
        <f>Members!I19</f>
        <v>0</v>
      </c>
      <c r="H17" s="71" t="str">
        <f>Members!J19</f>
        <v/>
      </c>
      <c r="I17" s="72">
        <f>Members!K19</f>
        <v>0</v>
      </c>
      <c r="J17" s="73">
        <f t="shared" si="1"/>
        <v>1</v>
      </c>
      <c r="K17" s="74">
        <f>IFERROR(IF(OR(B17=0,Table3[[#This Row],[Age]]=0,Table3[[#This Row],[Member Type]]="Beneficiary"),0,
IF(B17="Main Member",VLOOKUP(J17,Rate_MM,5),
IF(B17="Spouse",VLOOKUP(J17,Rate_SP,5),
IF(B17="Extended",VLOOKUP(J17,Rate_EXT,5),
IF(B17="Parent",VLOOKUP(J17,Rate_PAR,5),
IF(B17="Child",VLOOKUP(J17,Rate_CH,5))))))),0)</f>
        <v>0</v>
      </c>
      <c r="L17" s="74">
        <f>IFERROR(IF(OR(B17=0,Table3[[#This Row],[Age]]=0,Table3[[#This Row],[Member Type]]="Beneficiary"),0,
IF(B17="Main Member",VLOOKUP(J17,Rate_MM,4),
IF(B17="Spouse",VLOOKUP(J17,Rate_SP,4),
IF(B17="Extended",VLOOKUP(J17,Rate_EXT,4),
IF(B17="Parent",VLOOKUP(J17,Rate_PAR,4),
IF(B17="Child",VLOOKUP(J17,Rate_CH,4))))))),0)</f>
        <v>0</v>
      </c>
      <c r="M17" s="75">
        <f>Members!N19</f>
        <v>0</v>
      </c>
      <c r="N1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7" s="165">
        <f>IF(Table3[[#This Row],[Member Type]]="Child",COUNTIFS($B$3:$B$98,"Child",$C$3:$C$98,Table3[[#This Row],[Main Member Link ID]])-COUNTIFS($B18:$B$98,"Child",$C18:$C$98,Table3[[#This Row],[Main Member Link ID]]),
IF(Table3[[#This Row],[Member Type]]="Extended",COUNTIFS($B$3:$B$98,"Extended",$C$3:$C$98,Table3[[#This Row],[Main Member Link ID]])-COUNTIFS($B18:$B$98,"Extended",$C18:$C$98,Table3[[#This Row],[Main Member Link ID]]),
IF(Table3[[#This Row],[Member Type]]="Parent",COUNTIFS($B$3:$B$98,"Parent",$C$3:$C$98,Table3[[#This Row],[Main Member Link ID]])-COUNTIFS($B18:$B$98,"Parent",$C18:$C$98,Table3[[#This Row],[Main Member Link ID]]),
IF(Table3[[#This Row],[Member Type]]="Spouse",COUNTIFS($B$3:$B$98,"Spouse",$C$3:$C$98,Table3[[#This Row],[Main Member Link ID]])-COUNTIFS($B18:$B$98,"Spouse",$C18:$C$98,Table3[[#This Row],[Main Member Link ID]]),
IF(Table3[[#This Row],[Member Type]]="Main Member",COUNTIFS($B$3:$B$98,"Main Member",$C$3:$C$98,Table3[[#This Row],[Main Member Link ID]])-COUNTIFS($B18:$B$98,"Main Member",$C18:$C$98,Table3[[#This Row],[Main Member Link ID]]),
IF(Table3[[#This Row],[Member Type]]="Beneficiary",COUNTIFS($B$3:$B$98,"Beneficiary",$C$3:$C$98,Table3[[#This Row],[Main Member Link ID]])-COUNTIFS($B18:$B$98,"Beneficiary",$C18:$C$98,Table3[[#This Row],[Main Member Link ID]]),0))))))</f>
        <v>0</v>
      </c>
      <c r="Q1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7" s="166">
        <f>IF(Table3[[#This Row],[Member Type]]="Child",Table3[[#This Row],[Rate per 10,000]]/10000*Table3[[#This Row],[Cover Amount]],0)</f>
        <v>0</v>
      </c>
      <c r="S17" s="165">
        <f>IF(Table3[[#This Row],[Member Type]]="Child",COUNTIFS(Table3[Each Child Premium],Table3[[#This Row],[Each Child Premium]],Table3[Main Member Link ID],Table3[[#This Row],[Main Member Link ID]]),0)</f>
        <v>0</v>
      </c>
      <c r="T17" s="165" t="str">
        <f>IF(Table3[[#This Row],[No. of Child with same Cover Amont under a policy]]=0,"",IF(Table3[[#This Row],[Each Child Premium]]&gt;=_xlfn.MAXIFS(Table3[Each Child Premium],Table3[Main Member Link ID],Table3[[#This Row],[Main Member Link ID]]),"Yes",""))</f>
        <v/>
      </c>
      <c r="U1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policy]]&gt;1,J17=_xlfn.MINIFS(Table3[Age],Table3[Member Type],"Child",Table3[Main Member Link ID],Table3[[#This Row],[Main Member Link ID]],Table3[No. of Child with same Cover Amont under a policy],Table3[[#This Row],[No. of Child with same Cover Amont under a policy]])),1,0)),0)</f>
        <v>0</v>
      </c>
    </row>
    <row r="18" spans="2:21" x14ac:dyDescent="0.3">
      <c r="B18" s="173">
        <f>Members!B20</f>
        <v>0</v>
      </c>
      <c r="C18" s="174">
        <f>Members!E20</f>
        <v>0</v>
      </c>
      <c r="D18" s="174">
        <f>Members!F20</f>
        <v>0</v>
      </c>
      <c r="E18" s="174">
        <f>Members!G20</f>
        <v>0</v>
      </c>
      <c r="F18" s="72">
        <f>Members!H20</f>
        <v>0</v>
      </c>
      <c r="G18" s="71">
        <f>Members!I20</f>
        <v>0</v>
      </c>
      <c r="H18" s="71" t="str">
        <f>Members!J20</f>
        <v/>
      </c>
      <c r="I18" s="72">
        <f>Members!K20</f>
        <v>0</v>
      </c>
      <c r="J18" s="73">
        <f t="shared" si="1"/>
        <v>1</v>
      </c>
      <c r="K18" s="74">
        <f>IFERROR(IF(OR(B18=0,Table3[[#This Row],[Age]]=0,Table3[[#This Row],[Member Type]]="Beneficiary"),0,
IF(B18="Main Member",VLOOKUP(J18,Rate_MM,5),
IF(B18="Spouse",VLOOKUP(J18,Rate_SP,5),
IF(B18="Extended",VLOOKUP(J18,Rate_EXT,5),
IF(B18="Parent",VLOOKUP(J18,Rate_PAR,5),
IF(B18="Child",VLOOKUP(J18,Rate_CH,5))))))),0)</f>
        <v>0</v>
      </c>
      <c r="L18" s="74">
        <f>IFERROR(IF(OR(B18=0,Table3[[#This Row],[Age]]=0,Table3[[#This Row],[Member Type]]="Beneficiary"),0,
IF(B18="Main Member",VLOOKUP(J18,Rate_MM,4),
IF(B18="Spouse",VLOOKUP(J18,Rate_SP,4),
IF(B18="Extended",VLOOKUP(J18,Rate_EXT,4),
IF(B18="Parent",VLOOKUP(J18,Rate_PAR,4),
IF(B18="Child",VLOOKUP(J18,Rate_CH,4))))))),0)</f>
        <v>0</v>
      </c>
      <c r="M18" s="75">
        <f>Members!N20</f>
        <v>0</v>
      </c>
      <c r="N1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8" s="165">
        <f>IF(Table3[[#This Row],[Member Type]]="Child",COUNTIFS($B$3:$B$98,"Child",$C$3:$C$98,Table3[[#This Row],[Main Member Link ID]])-COUNTIFS($B19:$B$98,"Child",$C19:$C$98,Table3[[#This Row],[Main Member Link ID]]),
IF(Table3[[#This Row],[Member Type]]="Extended",COUNTIFS($B$3:$B$98,"Extended",$C$3:$C$98,Table3[[#This Row],[Main Member Link ID]])-COUNTIFS($B19:$B$98,"Extended",$C19:$C$98,Table3[[#This Row],[Main Member Link ID]]),
IF(Table3[[#This Row],[Member Type]]="Parent",COUNTIFS($B$3:$B$98,"Parent",$C$3:$C$98,Table3[[#This Row],[Main Member Link ID]])-COUNTIFS($B19:$B$98,"Parent",$C19:$C$98,Table3[[#This Row],[Main Member Link ID]]),
IF(Table3[[#This Row],[Member Type]]="Spouse",COUNTIFS($B$3:$B$98,"Spouse",$C$3:$C$98,Table3[[#This Row],[Main Member Link ID]])-COUNTIFS($B19:$B$98,"Spouse",$C19:$C$98,Table3[[#This Row],[Main Member Link ID]]),
IF(Table3[[#This Row],[Member Type]]="Main Member",COUNTIFS($B$3:$B$98,"Main Member",$C$3:$C$98,Table3[[#This Row],[Main Member Link ID]])-COUNTIFS($B19:$B$98,"Main Member",$C19:$C$98,Table3[[#This Row],[Main Member Link ID]]),
IF(Table3[[#This Row],[Member Type]]="Beneficiary",COUNTIFS($B$3:$B$98,"Beneficiary",$C$3:$C$98,Table3[[#This Row],[Main Member Link ID]])-COUNTIFS($B19:$B$98,"Beneficiary",$C19:$C$98,Table3[[#This Row],[Main Member Link ID]]),0))))))</f>
        <v>0</v>
      </c>
      <c r="Q1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8" s="166">
        <f>IF(Table3[[#This Row],[Member Type]]="Child",Table3[[#This Row],[Rate per 10,000]]/10000*Table3[[#This Row],[Cover Amount]],0)</f>
        <v>0</v>
      </c>
      <c r="S18" s="165">
        <f>IF(Table3[[#This Row],[Member Type]]="Child",COUNTIFS(Table3[Each Child Premium],Table3[[#This Row],[Each Child Premium]],Table3[Main Member Link ID],Table3[[#This Row],[Main Member Link ID]]),0)</f>
        <v>0</v>
      </c>
      <c r="T18" s="165" t="str">
        <f>IF(Table3[[#This Row],[No. of Child with same Cover Amont under a policy]]=0,"",IF(Table3[[#This Row],[Each Child Premium]]&gt;=_xlfn.MAXIFS(Table3[Each Child Premium],Table3[Main Member Link ID],Table3[[#This Row],[Main Member Link ID]]),"Yes",""))</f>
        <v/>
      </c>
      <c r="U1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policy]]&gt;1,J18=_xlfn.MINIFS(Table3[Age],Table3[Member Type],"Child",Table3[Main Member Link ID],Table3[[#This Row],[Main Member Link ID]],Table3[No. of Child with same Cover Amont under a policy],Table3[[#This Row],[No. of Child with same Cover Amont under a policy]])),1,0)),0)</f>
        <v>0</v>
      </c>
    </row>
    <row r="19" spans="2:21" x14ac:dyDescent="0.3">
      <c r="B19" s="173">
        <f>Members!B21</f>
        <v>0</v>
      </c>
      <c r="C19" s="174">
        <f>Members!E21</f>
        <v>0</v>
      </c>
      <c r="D19" s="174">
        <f>Members!F21</f>
        <v>0</v>
      </c>
      <c r="E19" s="174">
        <f>Members!G21</f>
        <v>0</v>
      </c>
      <c r="F19" s="72">
        <f>Members!H21</f>
        <v>0</v>
      </c>
      <c r="G19" s="71">
        <f>Members!I21</f>
        <v>0</v>
      </c>
      <c r="H19" s="71" t="str">
        <f>Members!J21</f>
        <v/>
      </c>
      <c r="I19" s="72">
        <f>Members!K21</f>
        <v>0</v>
      </c>
      <c r="J19" s="73">
        <f t="shared" si="1"/>
        <v>1</v>
      </c>
      <c r="K19" s="74">
        <f>IFERROR(IF(OR(B19=0,Table3[[#This Row],[Age]]=0,Table3[[#This Row],[Member Type]]="Beneficiary"),0,
IF(B19="Main Member",VLOOKUP(J19,Rate_MM,5),
IF(B19="Spouse",VLOOKUP(J19,Rate_SP,5),
IF(B19="Extended",VLOOKUP(J19,Rate_EXT,5),
IF(B19="Parent",VLOOKUP(J19,Rate_PAR,5),
IF(B19="Child",VLOOKUP(J19,Rate_CH,5))))))),0)</f>
        <v>0</v>
      </c>
      <c r="L19" s="74">
        <f>IFERROR(IF(OR(B19=0,Table3[[#This Row],[Age]]=0,Table3[[#This Row],[Member Type]]="Beneficiary"),0,
IF(B19="Main Member",VLOOKUP(J19,Rate_MM,4),
IF(B19="Spouse",VLOOKUP(J19,Rate_SP,4),
IF(B19="Extended",VLOOKUP(J19,Rate_EXT,4),
IF(B19="Parent",VLOOKUP(J19,Rate_PAR,4),
IF(B19="Child",VLOOKUP(J19,Rate_CH,4))))))),0)</f>
        <v>0</v>
      </c>
      <c r="M19" s="75">
        <f>Members!N21</f>
        <v>0</v>
      </c>
      <c r="N1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1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19" s="165">
        <f>IF(Table3[[#This Row],[Member Type]]="Child",COUNTIFS($B$3:$B$98,"Child",$C$3:$C$98,Table3[[#This Row],[Main Member Link ID]])-COUNTIFS($B20:$B$98,"Child",$C20:$C$98,Table3[[#This Row],[Main Member Link ID]]),
IF(Table3[[#This Row],[Member Type]]="Extended",COUNTIFS($B$3:$B$98,"Extended",$C$3:$C$98,Table3[[#This Row],[Main Member Link ID]])-COUNTIFS($B20:$B$98,"Extended",$C20:$C$98,Table3[[#This Row],[Main Member Link ID]]),
IF(Table3[[#This Row],[Member Type]]="Parent",COUNTIFS($B$3:$B$98,"Parent",$C$3:$C$98,Table3[[#This Row],[Main Member Link ID]])-COUNTIFS($B20:$B$98,"Parent",$C20:$C$98,Table3[[#This Row],[Main Member Link ID]]),
IF(Table3[[#This Row],[Member Type]]="Spouse",COUNTIFS($B$3:$B$98,"Spouse",$C$3:$C$98,Table3[[#This Row],[Main Member Link ID]])-COUNTIFS($B20:$B$98,"Spouse",$C20:$C$98,Table3[[#This Row],[Main Member Link ID]]),
IF(Table3[[#This Row],[Member Type]]="Main Member",COUNTIFS($B$3:$B$98,"Main Member",$C$3:$C$98,Table3[[#This Row],[Main Member Link ID]])-COUNTIFS($B20:$B$98,"Main Member",$C20:$C$98,Table3[[#This Row],[Main Member Link ID]]),
IF(Table3[[#This Row],[Member Type]]="Beneficiary",COUNTIFS($B$3:$B$98,"Beneficiary",$C$3:$C$98,Table3[[#This Row],[Main Member Link ID]])-COUNTIFS($B20:$B$98,"Beneficiary",$C20:$C$98,Table3[[#This Row],[Main Member Link ID]]),0))))))</f>
        <v>0</v>
      </c>
      <c r="Q1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19" s="166">
        <f>IF(Table3[[#This Row],[Member Type]]="Child",Table3[[#This Row],[Rate per 10,000]]/10000*Table3[[#This Row],[Cover Amount]],0)</f>
        <v>0</v>
      </c>
      <c r="S19" s="165">
        <f>IF(Table3[[#This Row],[Member Type]]="Child",COUNTIFS(Table3[Each Child Premium],Table3[[#This Row],[Each Child Premium]],Table3[Main Member Link ID],Table3[[#This Row],[Main Member Link ID]]),0)</f>
        <v>0</v>
      </c>
      <c r="T19" s="165" t="str">
        <f>IF(Table3[[#This Row],[No. of Child with same Cover Amont under a policy]]=0,"",IF(Table3[[#This Row],[Each Child Premium]]&gt;=_xlfn.MAXIFS(Table3[Each Child Premium],Table3[Main Member Link ID],Table3[[#This Row],[Main Member Link ID]]),"Yes",""))</f>
        <v/>
      </c>
      <c r="U1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policy]]&gt;1,J19=_xlfn.MINIFS(Table3[Age],Table3[Member Type],"Child",Table3[Main Member Link ID],Table3[[#This Row],[Main Member Link ID]],Table3[No. of Child with same Cover Amont under a policy],Table3[[#This Row],[No. of Child with same Cover Amont under a policy]])),1,0)),0)</f>
        <v>0</v>
      </c>
    </row>
    <row r="20" spans="2:21" x14ac:dyDescent="0.3">
      <c r="B20" s="173">
        <f>Members!B23</f>
        <v>0</v>
      </c>
      <c r="C20" s="174">
        <f>Members!E23</f>
        <v>0</v>
      </c>
      <c r="D20" s="174">
        <f>Members!F23</f>
        <v>0</v>
      </c>
      <c r="E20" s="174">
        <f>Members!G23</f>
        <v>0</v>
      </c>
      <c r="F20" s="72">
        <f>Members!H23</f>
        <v>0</v>
      </c>
      <c r="G20" s="71">
        <f>Members!I23</f>
        <v>0</v>
      </c>
      <c r="H20" s="71" t="str">
        <f>Members!J23</f>
        <v/>
      </c>
      <c r="I20" s="72">
        <f>Members!K23</f>
        <v>0</v>
      </c>
      <c r="J20" s="73">
        <f t="shared" si="1"/>
        <v>1</v>
      </c>
      <c r="K20" s="74">
        <f>IFERROR(IF(OR(B20=0,Table3[[#This Row],[Age]]=0,Table3[[#This Row],[Member Type]]="Beneficiary"),0,
IF(B20="Main Member",VLOOKUP(J20,Rate_MM,5),
IF(B20="Spouse",VLOOKUP(J20,Rate_SP,5),
IF(B20="Extended",VLOOKUP(J20,Rate_EXT,5),
IF(B20="Parent",VLOOKUP(J20,Rate_PAR,5),
IF(B20="Child",VLOOKUP(J20,Rate_CH,5))))))),0)</f>
        <v>0</v>
      </c>
      <c r="L20" s="74">
        <f>IFERROR(IF(OR(B20=0,Table3[[#This Row],[Age]]=0,Table3[[#This Row],[Member Type]]="Beneficiary"),0,
IF(B20="Main Member",VLOOKUP(J20,Rate_MM,4),
IF(B20="Spouse",VLOOKUP(J20,Rate_SP,4),
IF(B20="Extended",VLOOKUP(J20,Rate_EXT,4),
IF(B20="Parent",VLOOKUP(J20,Rate_PAR,4),
IF(B20="Child",VLOOKUP(J20,Rate_CH,4))))))),0)</f>
        <v>0</v>
      </c>
      <c r="M20" s="75">
        <f>Members!N23</f>
        <v>0</v>
      </c>
      <c r="N2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0" s="165">
        <f>IF(Table3[[#This Row],[Member Type]]="Child",COUNTIFS($B$3:$B$98,"Child",$C$3:$C$98,Table3[[#This Row],[Main Member Link ID]])-COUNTIFS($B21:$B$98,"Child",$C21:$C$98,Table3[[#This Row],[Main Member Link ID]]),
IF(Table3[[#This Row],[Member Type]]="Extended",COUNTIFS($B$3:$B$98,"Extended",$C$3:$C$98,Table3[[#This Row],[Main Member Link ID]])-COUNTIFS($B21:$B$98,"Extended",$C21:$C$98,Table3[[#This Row],[Main Member Link ID]]),
IF(Table3[[#This Row],[Member Type]]="Parent",COUNTIFS($B$3:$B$98,"Parent",$C$3:$C$98,Table3[[#This Row],[Main Member Link ID]])-COUNTIFS($B21:$B$98,"Parent",$C21:$C$98,Table3[[#This Row],[Main Member Link ID]]),
IF(Table3[[#This Row],[Member Type]]="Spouse",COUNTIFS($B$3:$B$98,"Spouse",$C$3:$C$98,Table3[[#This Row],[Main Member Link ID]])-COUNTIFS($B21:$B$98,"Spouse",$C21:$C$98,Table3[[#This Row],[Main Member Link ID]]),
IF(Table3[[#This Row],[Member Type]]="Main Member",COUNTIFS($B$3:$B$98,"Main Member",$C$3:$C$98,Table3[[#This Row],[Main Member Link ID]])-COUNTIFS($B21:$B$98,"Main Member",$C21:$C$98,Table3[[#This Row],[Main Member Link ID]]),
IF(Table3[[#This Row],[Member Type]]="Beneficiary",COUNTIFS($B$3:$B$98,"Beneficiary",$C$3:$C$98,Table3[[#This Row],[Main Member Link ID]])-COUNTIFS($B21:$B$98,"Beneficiary",$C21:$C$98,Table3[[#This Row],[Main Member Link ID]]),0))))))</f>
        <v>0</v>
      </c>
      <c r="Q2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0" s="166">
        <f>IF(Table3[[#This Row],[Member Type]]="Child",Table3[[#This Row],[Rate per 10,000]]/10000*Table3[[#This Row],[Cover Amount]],0)</f>
        <v>0</v>
      </c>
      <c r="S20" s="165">
        <f>IF(Table3[[#This Row],[Member Type]]="Child",COUNTIFS(Table3[Each Child Premium],Table3[[#This Row],[Each Child Premium]],Table3[Main Member Link ID],Table3[[#This Row],[Main Member Link ID]]),0)</f>
        <v>0</v>
      </c>
      <c r="T20" s="165" t="str">
        <f>IF(Table3[[#This Row],[No. of Child with same Cover Amont under a policy]]=0,"",IF(Table3[[#This Row],[Each Child Premium]]&gt;=_xlfn.MAXIFS(Table3[Each Child Premium],Table3[Main Member Link ID],Table3[[#This Row],[Main Member Link ID]]),"Yes",""))</f>
        <v/>
      </c>
      <c r="U2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policy]]&gt;1,J20=_xlfn.MINIFS(Table3[Age],Table3[Member Type],"Child",Table3[Main Member Link ID],Table3[[#This Row],[Main Member Link ID]],Table3[No. of Child with same Cover Amont under a policy],Table3[[#This Row],[No. of Child with same Cover Amont under a policy]])),1,0)),0)</f>
        <v>0</v>
      </c>
    </row>
    <row r="21" spans="2:21" x14ac:dyDescent="0.3">
      <c r="B21" s="173">
        <f>Members!B24</f>
        <v>0</v>
      </c>
      <c r="C21" s="174">
        <f>Members!E24</f>
        <v>0</v>
      </c>
      <c r="D21" s="174">
        <f>Members!F24</f>
        <v>0</v>
      </c>
      <c r="E21" s="174">
        <f>Members!G24</f>
        <v>0</v>
      </c>
      <c r="F21" s="72">
        <f>Members!H24</f>
        <v>0</v>
      </c>
      <c r="G21" s="71">
        <f>Members!I24</f>
        <v>0</v>
      </c>
      <c r="H21" s="71" t="str">
        <f>Members!J24</f>
        <v/>
      </c>
      <c r="I21" s="72">
        <f>Members!K24</f>
        <v>0</v>
      </c>
      <c r="J21" s="73">
        <f t="shared" si="1"/>
        <v>1</v>
      </c>
      <c r="K21" s="74">
        <f>IFERROR(IF(OR(B21=0,Table3[[#This Row],[Age]]=0,Table3[[#This Row],[Member Type]]="Beneficiary"),0,
IF(B21="Main Member",VLOOKUP(J21,Rate_MM,5),
IF(B21="Spouse",VLOOKUP(J21,Rate_SP,5),
IF(B21="Extended",VLOOKUP(J21,Rate_EXT,5),
IF(B21="Parent",VLOOKUP(J21,Rate_PAR,5),
IF(B21="Child",VLOOKUP(J21,Rate_CH,5))))))),0)</f>
        <v>0</v>
      </c>
      <c r="L21" s="74">
        <f>IFERROR(IF(OR(B21=0,Table3[[#This Row],[Age]]=0,Table3[[#This Row],[Member Type]]="Beneficiary"),0,
IF(B21="Main Member",VLOOKUP(J21,Rate_MM,4),
IF(B21="Spouse",VLOOKUP(J21,Rate_SP,4),
IF(B21="Extended",VLOOKUP(J21,Rate_EXT,4),
IF(B21="Parent",VLOOKUP(J21,Rate_PAR,4),
IF(B21="Child",VLOOKUP(J21,Rate_CH,4))))))),0)</f>
        <v>0</v>
      </c>
      <c r="M21" s="75">
        <f>Members!N24</f>
        <v>0</v>
      </c>
      <c r="N2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1" s="165">
        <f>IF(Table3[[#This Row],[Member Type]]="Child",COUNTIFS($B$3:$B$98,"Child",$C$3:$C$98,Table3[[#This Row],[Main Member Link ID]])-COUNTIFS($B22:$B$98,"Child",$C22:$C$98,Table3[[#This Row],[Main Member Link ID]]),
IF(Table3[[#This Row],[Member Type]]="Extended",COUNTIFS($B$3:$B$98,"Extended",$C$3:$C$98,Table3[[#This Row],[Main Member Link ID]])-COUNTIFS($B22:$B$98,"Extended",$C22:$C$98,Table3[[#This Row],[Main Member Link ID]]),
IF(Table3[[#This Row],[Member Type]]="Parent",COUNTIFS($B$3:$B$98,"Parent",$C$3:$C$98,Table3[[#This Row],[Main Member Link ID]])-COUNTIFS($B22:$B$98,"Parent",$C22:$C$98,Table3[[#This Row],[Main Member Link ID]]),
IF(Table3[[#This Row],[Member Type]]="Spouse",COUNTIFS($B$3:$B$98,"Spouse",$C$3:$C$98,Table3[[#This Row],[Main Member Link ID]])-COUNTIFS($B22:$B$98,"Spouse",$C22:$C$98,Table3[[#This Row],[Main Member Link ID]]),
IF(Table3[[#This Row],[Member Type]]="Main Member",COUNTIFS($B$3:$B$98,"Main Member",$C$3:$C$98,Table3[[#This Row],[Main Member Link ID]])-COUNTIFS($B22:$B$98,"Main Member",$C22:$C$98,Table3[[#This Row],[Main Member Link ID]]),
IF(Table3[[#This Row],[Member Type]]="Beneficiary",COUNTIFS($B$3:$B$98,"Beneficiary",$C$3:$C$98,Table3[[#This Row],[Main Member Link ID]])-COUNTIFS($B22:$B$98,"Beneficiary",$C22:$C$98,Table3[[#This Row],[Main Member Link ID]]),0))))))</f>
        <v>0</v>
      </c>
      <c r="Q2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1" s="166">
        <f>IF(Table3[[#This Row],[Member Type]]="Child",Table3[[#This Row],[Rate per 10,000]]/10000*Table3[[#This Row],[Cover Amount]],0)</f>
        <v>0</v>
      </c>
      <c r="S21" s="165">
        <f>IF(Table3[[#This Row],[Member Type]]="Child",COUNTIFS(Table3[Each Child Premium],Table3[[#This Row],[Each Child Premium]],Table3[Main Member Link ID],Table3[[#This Row],[Main Member Link ID]]),0)</f>
        <v>0</v>
      </c>
      <c r="T21" s="165" t="str">
        <f>IF(Table3[[#This Row],[No. of Child with same Cover Amont under a policy]]=0,"",IF(Table3[[#This Row],[Each Child Premium]]&gt;=_xlfn.MAXIFS(Table3[Each Child Premium],Table3[Main Member Link ID],Table3[[#This Row],[Main Member Link ID]]),"Yes",""))</f>
        <v/>
      </c>
      <c r="U2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policy]]&gt;1,J21=_xlfn.MINIFS(Table3[Age],Table3[Member Type],"Child",Table3[Main Member Link ID],Table3[[#This Row],[Main Member Link ID]],Table3[No. of Child with same Cover Amont under a policy],Table3[[#This Row],[No. of Child with same Cover Amont under a policy]])),1,0)),0)</f>
        <v>0</v>
      </c>
    </row>
    <row r="22" spans="2:21" x14ac:dyDescent="0.3">
      <c r="B22" s="173">
        <f>Members!B25</f>
        <v>0</v>
      </c>
      <c r="C22" s="174">
        <f>Members!E25</f>
        <v>0</v>
      </c>
      <c r="D22" s="174">
        <f>Members!F25</f>
        <v>0</v>
      </c>
      <c r="E22" s="174">
        <f>Members!G25</f>
        <v>0</v>
      </c>
      <c r="F22" s="72">
        <f>Members!H25</f>
        <v>0</v>
      </c>
      <c r="G22" s="71">
        <f>Members!I25</f>
        <v>0</v>
      </c>
      <c r="H22" s="71" t="str">
        <f>Members!J25</f>
        <v/>
      </c>
      <c r="I22" s="72">
        <f>Members!K25</f>
        <v>0</v>
      </c>
      <c r="J22" s="73">
        <f t="shared" si="1"/>
        <v>1</v>
      </c>
      <c r="K22" s="74">
        <f>IFERROR(IF(OR(B22=0,Table3[[#This Row],[Age]]=0,Table3[[#This Row],[Member Type]]="Beneficiary"),0,
IF(B22="Main Member",VLOOKUP(J22,Rate_MM,5),
IF(B22="Spouse",VLOOKUP(J22,Rate_SP,5),
IF(B22="Extended",VLOOKUP(J22,Rate_EXT,5),
IF(B22="Parent",VLOOKUP(J22,Rate_PAR,5),
IF(B22="Child",VLOOKUP(J22,Rate_CH,5))))))),0)</f>
        <v>0</v>
      </c>
      <c r="L22" s="74">
        <f>IFERROR(IF(OR(B22=0,Table3[[#This Row],[Age]]=0,Table3[[#This Row],[Member Type]]="Beneficiary"),0,
IF(B22="Main Member",VLOOKUP(J22,Rate_MM,4),
IF(B22="Spouse",VLOOKUP(J22,Rate_SP,4),
IF(B22="Extended",VLOOKUP(J22,Rate_EXT,4),
IF(B22="Parent",VLOOKUP(J22,Rate_PAR,4),
IF(B22="Child",VLOOKUP(J22,Rate_CH,4))))))),0)</f>
        <v>0</v>
      </c>
      <c r="M22" s="75">
        <f>Members!N25</f>
        <v>0</v>
      </c>
      <c r="N2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2" s="165">
        <f>IF(Table3[[#This Row],[Member Type]]="Child",COUNTIFS($B$3:$B$98,"Child",$C$3:$C$98,Table3[[#This Row],[Main Member Link ID]])-COUNTIFS($B23:$B$98,"Child",$C23:$C$98,Table3[[#This Row],[Main Member Link ID]]),
IF(Table3[[#This Row],[Member Type]]="Extended",COUNTIFS($B$3:$B$98,"Extended",$C$3:$C$98,Table3[[#This Row],[Main Member Link ID]])-COUNTIFS($B23:$B$98,"Extended",$C23:$C$98,Table3[[#This Row],[Main Member Link ID]]),
IF(Table3[[#This Row],[Member Type]]="Parent",COUNTIFS($B$3:$B$98,"Parent",$C$3:$C$98,Table3[[#This Row],[Main Member Link ID]])-COUNTIFS($B23:$B$98,"Parent",$C23:$C$98,Table3[[#This Row],[Main Member Link ID]]),
IF(Table3[[#This Row],[Member Type]]="Spouse",COUNTIFS($B$3:$B$98,"Spouse",$C$3:$C$98,Table3[[#This Row],[Main Member Link ID]])-COUNTIFS($B23:$B$98,"Spouse",$C23:$C$98,Table3[[#This Row],[Main Member Link ID]]),
IF(Table3[[#This Row],[Member Type]]="Main Member",COUNTIFS($B$3:$B$98,"Main Member",$C$3:$C$98,Table3[[#This Row],[Main Member Link ID]])-COUNTIFS($B23:$B$98,"Main Member",$C23:$C$98,Table3[[#This Row],[Main Member Link ID]]),
IF(Table3[[#This Row],[Member Type]]="Beneficiary",COUNTIFS($B$3:$B$98,"Beneficiary",$C$3:$C$98,Table3[[#This Row],[Main Member Link ID]])-COUNTIFS($B23:$B$98,"Beneficiary",$C23:$C$98,Table3[[#This Row],[Main Member Link ID]]),0))))))</f>
        <v>0</v>
      </c>
      <c r="Q2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2" s="166">
        <f>IF(Table3[[#This Row],[Member Type]]="Child",Table3[[#This Row],[Rate per 10,000]]/10000*Table3[[#This Row],[Cover Amount]],0)</f>
        <v>0</v>
      </c>
      <c r="S22" s="165">
        <f>IF(Table3[[#This Row],[Member Type]]="Child",COUNTIFS(Table3[Each Child Premium],Table3[[#This Row],[Each Child Premium]],Table3[Main Member Link ID],Table3[[#This Row],[Main Member Link ID]]),0)</f>
        <v>0</v>
      </c>
      <c r="T22" s="165" t="str">
        <f>IF(Table3[[#This Row],[No. of Child with same Cover Amont under a policy]]=0,"",IF(Table3[[#This Row],[Each Child Premium]]&gt;=_xlfn.MAXIFS(Table3[Each Child Premium],Table3[Main Member Link ID],Table3[[#This Row],[Main Member Link ID]]),"Yes",""))</f>
        <v/>
      </c>
      <c r="U2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policy]]&gt;1,J22=_xlfn.MINIFS(Table3[Age],Table3[Member Type],"Child",Table3[Main Member Link ID],Table3[[#This Row],[Main Member Link ID]],Table3[No. of Child with same Cover Amont under a policy],Table3[[#This Row],[No. of Child with same Cover Amont under a policy]])),1,0)),0)</f>
        <v>0</v>
      </c>
    </row>
    <row r="23" spans="2:21" x14ac:dyDescent="0.3">
      <c r="B23" s="173">
        <f>Members!B26</f>
        <v>0</v>
      </c>
      <c r="C23" s="174">
        <f>Members!E26</f>
        <v>0</v>
      </c>
      <c r="D23" s="174">
        <f>Members!F26</f>
        <v>0</v>
      </c>
      <c r="E23" s="174">
        <f>Members!G26</f>
        <v>0</v>
      </c>
      <c r="F23" s="72">
        <f>Members!H26</f>
        <v>0</v>
      </c>
      <c r="G23" s="71">
        <f>Members!I26</f>
        <v>0</v>
      </c>
      <c r="H23" s="71" t="str">
        <f>Members!J26</f>
        <v/>
      </c>
      <c r="I23" s="72">
        <f>Members!K26</f>
        <v>0</v>
      </c>
      <c r="J23" s="73">
        <f t="shared" si="1"/>
        <v>1</v>
      </c>
      <c r="K23" s="74">
        <f>IFERROR(IF(OR(B23=0,Table3[[#This Row],[Age]]=0,Table3[[#This Row],[Member Type]]="Beneficiary"),0,
IF(B23="Main Member",VLOOKUP(J23,Rate_MM,5),
IF(B23="Spouse",VLOOKUP(J23,Rate_SP,5),
IF(B23="Extended",VLOOKUP(J23,Rate_EXT,5),
IF(B23="Parent",VLOOKUP(J23,Rate_PAR,5),
IF(B23="Child",VLOOKUP(J23,Rate_CH,5))))))),0)</f>
        <v>0</v>
      </c>
      <c r="L23" s="74">
        <f>IFERROR(IF(OR(B23=0,Table3[[#This Row],[Age]]=0,Table3[[#This Row],[Member Type]]="Beneficiary"),0,
IF(B23="Main Member",VLOOKUP(J23,Rate_MM,4),
IF(B23="Spouse",VLOOKUP(J23,Rate_SP,4),
IF(B23="Extended",VLOOKUP(J23,Rate_EXT,4),
IF(B23="Parent",VLOOKUP(J23,Rate_PAR,4),
IF(B23="Child",VLOOKUP(J23,Rate_CH,4))))))),0)</f>
        <v>0</v>
      </c>
      <c r="M23" s="75">
        <f>Members!N26</f>
        <v>0</v>
      </c>
      <c r="N2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3" s="165">
        <f>IF(Table3[[#This Row],[Member Type]]="Child",COUNTIFS($B$3:$B$98,"Child",$C$3:$C$98,Table3[[#This Row],[Main Member Link ID]])-COUNTIFS($B24:$B$98,"Child",$C24:$C$98,Table3[[#This Row],[Main Member Link ID]]),
IF(Table3[[#This Row],[Member Type]]="Extended",COUNTIFS($B$3:$B$98,"Extended",$C$3:$C$98,Table3[[#This Row],[Main Member Link ID]])-COUNTIFS($B24:$B$98,"Extended",$C24:$C$98,Table3[[#This Row],[Main Member Link ID]]),
IF(Table3[[#This Row],[Member Type]]="Parent",COUNTIFS($B$3:$B$98,"Parent",$C$3:$C$98,Table3[[#This Row],[Main Member Link ID]])-COUNTIFS($B24:$B$98,"Parent",$C24:$C$98,Table3[[#This Row],[Main Member Link ID]]),
IF(Table3[[#This Row],[Member Type]]="Spouse",COUNTIFS($B$3:$B$98,"Spouse",$C$3:$C$98,Table3[[#This Row],[Main Member Link ID]])-COUNTIFS($B24:$B$98,"Spouse",$C24:$C$98,Table3[[#This Row],[Main Member Link ID]]),
IF(Table3[[#This Row],[Member Type]]="Main Member",COUNTIFS($B$3:$B$98,"Main Member",$C$3:$C$98,Table3[[#This Row],[Main Member Link ID]])-COUNTIFS($B24:$B$98,"Main Member",$C24:$C$98,Table3[[#This Row],[Main Member Link ID]]),
IF(Table3[[#This Row],[Member Type]]="Beneficiary",COUNTIFS($B$3:$B$98,"Beneficiary",$C$3:$C$98,Table3[[#This Row],[Main Member Link ID]])-COUNTIFS($B24:$B$98,"Beneficiary",$C24:$C$98,Table3[[#This Row],[Main Member Link ID]]),0))))))</f>
        <v>0</v>
      </c>
      <c r="Q2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3" s="166">
        <f>IF(Table3[[#This Row],[Member Type]]="Child",Table3[[#This Row],[Rate per 10,000]]/10000*Table3[[#This Row],[Cover Amount]],0)</f>
        <v>0</v>
      </c>
      <c r="S23" s="165">
        <f>IF(Table3[[#This Row],[Member Type]]="Child",COUNTIFS(Table3[Each Child Premium],Table3[[#This Row],[Each Child Premium]],Table3[Main Member Link ID],Table3[[#This Row],[Main Member Link ID]]),0)</f>
        <v>0</v>
      </c>
      <c r="T23" s="165" t="str">
        <f>IF(Table3[[#This Row],[No. of Child with same Cover Amont under a policy]]=0,"",IF(Table3[[#This Row],[Each Child Premium]]&gt;=_xlfn.MAXIFS(Table3[Each Child Premium],Table3[Main Member Link ID],Table3[[#This Row],[Main Member Link ID]]),"Yes",""))</f>
        <v/>
      </c>
      <c r="U2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policy]]&gt;1,J23=_xlfn.MINIFS(Table3[Age],Table3[Member Type],"Child",Table3[Main Member Link ID],Table3[[#This Row],[Main Member Link ID]],Table3[No. of Child with same Cover Amont under a policy],Table3[[#This Row],[No. of Child with same Cover Amont under a policy]])),1,0)),0)</f>
        <v>0</v>
      </c>
    </row>
    <row r="24" spans="2:21" x14ac:dyDescent="0.3">
      <c r="B24" s="173">
        <f>Members!B27</f>
        <v>0</v>
      </c>
      <c r="C24" s="174">
        <f>Members!E27</f>
        <v>0</v>
      </c>
      <c r="D24" s="174">
        <f>Members!F27</f>
        <v>0</v>
      </c>
      <c r="E24" s="174">
        <f>Members!G27</f>
        <v>0</v>
      </c>
      <c r="F24" s="72">
        <f>Members!H27</f>
        <v>0</v>
      </c>
      <c r="G24" s="71">
        <f>Members!I27</f>
        <v>0</v>
      </c>
      <c r="H24" s="71" t="str">
        <f>Members!J27</f>
        <v/>
      </c>
      <c r="I24" s="72">
        <f>Members!K27</f>
        <v>0</v>
      </c>
      <c r="J24" s="73">
        <f t="shared" si="1"/>
        <v>1</v>
      </c>
      <c r="K24" s="74">
        <f>IFERROR(IF(OR(B24=0,Table3[[#This Row],[Age]]=0,Table3[[#This Row],[Member Type]]="Beneficiary"),0,
IF(B24="Main Member",VLOOKUP(J24,Rate_MM,5),
IF(B24="Spouse",VLOOKUP(J24,Rate_SP,5),
IF(B24="Extended",VLOOKUP(J24,Rate_EXT,5),
IF(B24="Parent",VLOOKUP(J24,Rate_PAR,5),
IF(B24="Child",VLOOKUP(J24,Rate_CH,5))))))),0)</f>
        <v>0</v>
      </c>
      <c r="L24" s="74">
        <f>IFERROR(IF(OR(B24=0,Table3[[#This Row],[Age]]=0,Table3[[#This Row],[Member Type]]="Beneficiary"),0,
IF(B24="Main Member",VLOOKUP(J24,Rate_MM,4),
IF(B24="Spouse",VLOOKUP(J24,Rate_SP,4),
IF(B24="Extended",VLOOKUP(J24,Rate_EXT,4),
IF(B24="Parent",VLOOKUP(J24,Rate_PAR,4),
IF(B24="Child",VLOOKUP(J24,Rate_CH,4))))))),0)</f>
        <v>0</v>
      </c>
      <c r="M24" s="75">
        <f>Members!N27</f>
        <v>0</v>
      </c>
      <c r="N2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4" s="165">
        <f>IF(Table3[[#This Row],[Member Type]]="Child",COUNTIFS($B$3:$B$98,"Child",$C$3:$C$98,Table3[[#This Row],[Main Member Link ID]])-COUNTIFS($B25:$B$98,"Child",$C25:$C$98,Table3[[#This Row],[Main Member Link ID]]),
IF(Table3[[#This Row],[Member Type]]="Extended",COUNTIFS($B$3:$B$98,"Extended",$C$3:$C$98,Table3[[#This Row],[Main Member Link ID]])-COUNTIFS($B25:$B$98,"Extended",$C25:$C$98,Table3[[#This Row],[Main Member Link ID]]),
IF(Table3[[#This Row],[Member Type]]="Parent",COUNTIFS($B$3:$B$98,"Parent",$C$3:$C$98,Table3[[#This Row],[Main Member Link ID]])-COUNTIFS($B25:$B$98,"Parent",$C25:$C$98,Table3[[#This Row],[Main Member Link ID]]),
IF(Table3[[#This Row],[Member Type]]="Spouse",COUNTIFS($B$3:$B$98,"Spouse",$C$3:$C$98,Table3[[#This Row],[Main Member Link ID]])-COUNTIFS($B25:$B$98,"Spouse",$C25:$C$98,Table3[[#This Row],[Main Member Link ID]]),
IF(Table3[[#This Row],[Member Type]]="Main Member",COUNTIFS($B$3:$B$98,"Main Member",$C$3:$C$98,Table3[[#This Row],[Main Member Link ID]])-COUNTIFS($B25:$B$98,"Main Member",$C25:$C$98,Table3[[#This Row],[Main Member Link ID]]),
IF(Table3[[#This Row],[Member Type]]="Beneficiary",COUNTIFS($B$3:$B$98,"Beneficiary",$C$3:$C$98,Table3[[#This Row],[Main Member Link ID]])-COUNTIFS($B25:$B$98,"Beneficiary",$C25:$C$98,Table3[[#This Row],[Main Member Link ID]]),0))))))</f>
        <v>0</v>
      </c>
      <c r="Q2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4" s="166">
        <f>IF(Table3[[#This Row],[Member Type]]="Child",Table3[[#This Row],[Rate per 10,000]]/10000*Table3[[#This Row],[Cover Amount]],0)</f>
        <v>0</v>
      </c>
      <c r="S24" s="165">
        <f>IF(Table3[[#This Row],[Member Type]]="Child",COUNTIFS(Table3[Each Child Premium],Table3[[#This Row],[Each Child Premium]],Table3[Main Member Link ID],Table3[[#This Row],[Main Member Link ID]]),0)</f>
        <v>0</v>
      </c>
      <c r="T24" s="165" t="str">
        <f>IF(Table3[[#This Row],[No. of Child with same Cover Amont under a policy]]=0,"",IF(Table3[[#This Row],[Each Child Premium]]&gt;=_xlfn.MAXIFS(Table3[Each Child Premium],Table3[Main Member Link ID],Table3[[#This Row],[Main Member Link ID]]),"Yes",""))</f>
        <v/>
      </c>
      <c r="U2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policy]]&gt;1,J24=_xlfn.MINIFS(Table3[Age],Table3[Member Type],"Child",Table3[Main Member Link ID],Table3[[#This Row],[Main Member Link ID]],Table3[No. of Child with same Cover Amont under a policy],Table3[[#This Row],[No. of Child with same Cover Amont under a policy]])),1,0)),0)</f>
        <v>0</v>
      </c>
    </row>
    <row r="25" spans="2:21" x14ac:dyDescent="0.3">
      <c r="B25" s="173">
        <f>Members!B28</f>
        <v>0</v>
      </c>
      <c r="C25" s="174">
        <f>Members!E28</f>
        <v>0</v>
      </c>
      <c r="D25" s="174">
        <f>Members!F28</f>
        <v>0</v>
      </c>
      <c r="E25" s="174">
        <f>Members!G28</f>
        <v>0</v>
      </c>
      <c r="F25" s="72">
        <f>Members!H28</f>
        <v>0</v>
      </c>
      <c r="G25" s="71">
        <f>Members!I28</f>
        <v>0</v>
      </c>
      <c r="H25" s="71" t="str">
        <f>Members!J28</f>
        <v/>
      </c>
      <c r="I25" s="72">
        <f>Members!K28</f>
        <v>0</v>
      </c>
      <c r="J25" s="73">
        <f t="shared" si="1"/>
        <v>1</v>
      </c>
      <c r="K25" s="74">
        <f>IFERROR(IF(OR(B25=0,Table3[[#This Row],[Age]]=0,Table3[[#This Row],[Member Type]]="Beneficiary"),0,
IF(B25="Main Member",VLOOKUP(J25,Rate_MM,5),
IF(B25="Spouse",VLOOKUP(J25,Rate_SP,5),
IF(B25="Extended",VLOOKUP(J25,Rate_EXT,5),
IF(B25="Parent",VLOOKUP(J25,Rate_PAR,5),
IF(B25="Child",VLOOKUP(J25,Rate_CH,5))))))),0)</f>
        <v>0</v>
      </c>
      <c r="L25" s="74">
        <f>IFERROR(IF(OR(B25=0,Table3[[#This Row],[Age]]=0,Table3[[#This Row],[Member Type]]="Beneficiary"),0,
IF(B25="Main Member",VLOOKUP(J25,Rate_MM,4),
IF(B25="Spouse",VLOOKUP(J25,Rate_SP,4),
IF(B25="Extended",VLOOKUP(J25,Rate_EXT,4),
IF(B25="Parent",VLOOKUP(J25,Rate_PAR,4),
IF(B25="Child",VLOOKUP(J25,Rate_CH,4))))))),0)</f>
        <v>0</v>
      </c>
      <c r="M25" s="75">
        <f>Members!N28</f>
        <v>0</v>
      </c>
      <c r="N2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5" s="165">
        <f>IF(Table3[[#This Row],[Member Type]]="Child",COUNTIFS($B$3:$B$98,"Child",$C$3:$C$98,Table3[[#This Row],[Main Member Link ID]])-COUNTIFS($B26:$B$98,"Child",$C26:$C$98,Table3[[#This Row],[Main Member Link ID]]),
IF(Table3[[#This Row],[Member Type]]="Extended",COUNTIFS($B$3:$B$98,"Extended",$C$3:$C$98,Table3[[#This Row],[Main Member Link ID]])-COUNTIFS($B26:$B$98,"Extended",$C26:$C$98,Table3[[#This Row],[Main Member Link ID]]),
IF(Table3[[#This Row],[Member Type]]="Parent",COUNTIFS($B$3:$B$98,"Parent",$C$3:$C$98,Table3[[#This Row],[Main Member Link ID]])-COUNTIFS($B26:$B$98,"Parent",$C26:$C$98,Table3[[#This Row],[Main Member Link ID]]),
IF(Table3[[#This Row],[Member Type]]="Spouse",COUNTIFS($B$3:$B$98,"Spouse",$C$3:$C$98,Table3[[#This Row],[Main Member Link ID]])-COUNTIFS($B26:$B$98,"Spouse",$C26:$C$98,Table3[[#This Row],[Main Member Link ID]]),
IF(Table3[[#This Row],[Member Type]]="Main Member",COUNTIFS($B$3:$B$98,"Main Member",$C$3:$C$98,Table3[[#This Row],[Main Member Link ID]])-COUNTIFS($B26:$B$98,"Main Member",$C26:$C$98,Table3[[#This Row],[Main Member Link ID]]),
IF(Table3[[#This Row],[Member Type]]="Beneficiary",COUNTIFS($B$3:$B$98,"Beneficiary",$C$3:$C$98,Table3[[#This Row],[Main Member Link ID]])-COUNTIFS($B26:$B$98,"Beneficiary",$C26:$C$98,Table3[[#This Row],[Main Member Link ID]]),0))))))</f>
        <v>0</v>
      </c>
      <c r="Q2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5" s="166">
        <f>IF(Table3[[#This Row],[Member Type]]="Child",Table3[[#This Row],[Rate per 10,000]]/10000*Table3[[#This Row],[Cover Amount]],0)</f>
        <v>0</v>
      </c>
      <c r="S25" s="165">
        <f>IF(Table3[[#This Row],[Member Type]]="Child",COUNTIFS(Table3[Each Child Premium],Table3[[#This Row],[Each Child Premium]],Table3[Main Member Link ID],Table3[[#This Row],[Main Member Link ID]]),0)</f>
        <v>0</v>
      </c>
      <c r="T25" s="165" t="str">
        <f>IF(Table3[[#This Row],[No. of Child with same Cover Amont under a policy]]=0,"",IF(Table3[[#This Row],[Each Child Premium]]&gt;=_xlfn.MAXIFS(Table3[Each Child Premium],Table3[Main Member Link ID],Table3[[#This Row],[Main Member Link ID]]),"Yes",""))</f>
        <v/>
      </c>
      <c r="U2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policy]]&gt;1,J25=_xlfn.MINIFS(Table3[Age],Table3[Member Type],"Child",Table3[Main Member Link ID],Table3[[#This Row],[Main Member Link ID]],Table3[No. of Child with same Cover Amont under a policy],Table3[[#This Row],[No. of Child with same Cover Amont under a policy]])),1,0)),0)</f>
        <v>0</v>
      </c>
    </row>
    <row r="26" spans="2:21" x14ac:dyDescent="0.3">
      <c r="B26" s="173">
        <f>Members!B29</f>
        <v>0</v>
      </c>
      <c r="C26" s="174">
        <f>Members!E29</f>
        <v>0</v>
      </c>
      <c r="D26" s="174">
        <f>Members!F29</f>
        <v>0</v>
      </c>
      <c r="E26" s="174">
        <f>Members!G29</f>
        <v>0</v>
      </c>
      <c r="F26" s="72">
        <f>Members!H29</f>
        <v>0</v>
      </c>
      <c r="G26" s="71">
        <f>Members!I29</f>
        <v>0</v>
      </c>
      <c r="H26" s="71" t="str">
        <f>Members!J29</f>
        <v/>
      </c>
      <c r="I26" s="72">
        <f>Members!K29</f>
        <v>0</v>
      </c>
      <c r="J26" s="73">
        <f t="shared" si="1"/>
        <v>1</v>
      </c>
      <c r="K26" s="74">
        <f>IFERROR(IF(OR(B26=0,Table3[[#This Row],[Age]]=0,Table3[[#This Row],[Member Type]]="Beneficiary"),0,
IF(B26="Main Member",VLOOKUP(J26,Rate_MM,5),
IF(B26="Spouse",VLOOKUP(J26,Rate_SP,5),
IF(B26="Extended",VLOOKUP(J26,Rate_EXT,5),
IF(B26="Parent",VLOOKUP(J26,Rate_PAR,5),
IF(B26="Child",VLOOKUP(J26,Rate_CH,5))))))),0)</f>
        <v>0</v>
      </c>
      <c r="L26" s="74">
        <f>IFERROR(IF(OR(B26=0,Table3[[#This Row],[Age]]=0,Table3[[#This Row],[Member Type]]="Beneficiary"),0,
IF(B26="Main Member",VLOOKUP(J26,Rate_MM,4),
IF(B26="Spouse",VLOOKUP(J26,Rate_SP,4),
IF(B26="Extended",VLOOKUP(J26,Rate_EXT,4),
IF(B26="Parent",VLOOKUP(J26,Rate_PAR,4),
IF(B26="Child",VLOOKUP(J26,Rate_CH,4))))))),0)</f>
        <v>0</v>
      </c>
      <c r="M26" s="75">
        <f>Members!N29</f>
        <v>0</v>
      </c>
      <c r="N2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6" s="165">
        <f>IF(Table3[[#This Row],[Member Type]]="Child",COUNTIFS($B$3:$B$98,"Child",$C$3:$C$98,Table3[[#This Row],[Main Member Link ID]])-COUNTIFS($B27:$B$98,"Child",$C27:$C$98,Table3[[#This Row],[Main Member Link ID]]),
IF(Table3[[#This Row],[Member Type]]="Extended",COUNTIFS($B$3:$B$98,"Extended",$C$3:$C$98,Table3[[#This Row],[Main Member Link ID]])-COUNTIFS($B27:$B$98,"Extended",$C27:$C$98,Table3[[#This Row],[Main Member Link ID]]),
IF(Table3[[#This Row],[Member Type]]="Parent",COUNTIFS($B$3:$B$98,"Parent",$C$3:$C$98,Table3[[#This Row],[Main Member Link ID]])-COUNTIFS($B27:$B$98,"Parent",$C27:$C$98,Table3[[#This Row],[Main Member Link ID]]),
IF(Table3[[#This Row],[Member Type]]="Spouse",COUNTIFS($B$3:$B$98,"Spouse",$C$3:$C$98,Table3[[#This Row],[Main Member Link ID]])-COUNTIFS($B27:$B$98,"Spouse",$C27:$C$98,Table3[[#This Row],[Main Member Link ID]]),
IF(Table3[[#This Row],[Member Type]]="Main Member",COUNTIFS($B$3:$B$98,"Main Member",$C$3:$C$98,Table3[[#This Row],[Main Member Link ID]])-COUNTIFS($B27:$B$98,"Main Member",$C27:$C$98,Table3[[#This Row],[Main Member Link ID]]),
IF(Table3[[#This Row],[Member Type]]="Beneficiary",COUNTIFS($B$3:$B$98,"Beneficiary",$C$3:$C$98,Table3[[#This Row],[Main Member Link ID]])-COUNTIFS($B27:$B$98,"Beneficiary",$C27:$C$98,Table3[[#This Row],[Main Member Link ID]]),0))))))</f>
        <v>0</v>
      </c>
      <c r="Q2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6" s="166">
        <f>IF(Table3[[#This Row],[Member Type]]="Child",Table3[[#This Row],[Rate per 10,000]]/10000*Table3[[#This Row],[Cover Amount]],0)</f>
        <v>0</v>
      </c>
      <c r="S26" s="165">
        <f>IF(Table3[[#This Row],[Member Type]]="Child",COUNTIFS(Table3[Each Child Premium],Table3[[#This Row],[Each Child Premium]],Table3[Main Member Link ID],Table3[[#This Row],[Main Member Link ID]]),0)</f>
        <v>0</v>
      </c>
      <c r="T26" s="165" t="str">
        <f>IF(Table3[[#This Row],[No. of Child with same Cover Amont under a policy]]=0,"",IF(Table3[[#This Row],[Each Child Premium]]&gt;=_xlfn.MAXIFS(Table3[Each Child Premium],Table3[Main Member Link ID],Table3[[#This Row],[Main Member Link ID]]),"Yes",""))</f>
        <v/>
      </c>
      <c r="U2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policy]]&gt;1,J26=_xlfn.MINIFS(Table3[Age],Table3[Member Type],"Child",Table3[Main Member Link ID],Table3[[#This Row],[Main Member Link ID]],Table3[No. of Child with same Cover Amont under a policy],Table3[[#This Row],[No. of Child with same Cover Amont under a policy]])),1,0)),0)</f>
        <v>0</v>
      </c>
    </row>
    <row r="27" spans="2:21" x14ac:dyDescent="0.3">
      <c r="B27" s="173">
        <f>Members!B30</f>
        <v>0</v>
      </c>
      <c r="C27" s="174">
        <f>Members!E30</f>
        <v>0</v>
      </c>
      <c r="D27" s="174">
        <f>Members!F30</f>
        <v>0</v>
      </c>
      <c r="E27" s="174">
        <f>Members!G30</f>
        <v>0</v>
      </c>
      <c r="F27" s="72">
        <f>Members!H30</f>
        <v>0</v>
      </c>
      <c r="G27" s="71">
        <f>Members!I30</f>
        <v>0</v>
      </c>
      <c r="H27" s="71" t="str">
        <f>Members!J30</f>
        <v/>
      </c>
      <c r="I27" s="72">
        <f>Members!K30</f>
        <v>0</v>
      </c>
      <c r="J27" s="73">
        <f t="shared" si="1"/>
        <v>1</v>
      </c>
      <c r="K27" s="74">
        <f>IFERROR(IF(OR(B27=0,Table3[[#This Row],[Age]]=0,Table3[[#This Row],[Member Type]]="Beneficiary"),0,
IF(B27="Main Member",VLOOKUP(J27,Rate_MM,5),
IF(B27="Spouse",VLOOKUP(J27,Rate_SP,5),
IF(B27="Extended",VLOOKUP(J27,Rate_EXT,5),
IF(B27="Parent",VLOOKUP(J27,Rate_PAR,5),
IF(B27="Child",VLOOKUP(J27,Rate_CH,5))))))),0)</f>
        <v>0</v>
      </c>
      <c r="L27" s="74">
        <f>IFERROR(IF(OR(B27=0,Table3[[#This Row],[Age]]=0,Table3[[#This Row],[Member Type]]="Beneficiary"),0,
IF(B27="Main Member",VLOOKUP(J27,Rate_MM,4),
IF(B27="Spouse",VLOOKUP(J27,Rate_SP,4),
IF(B27="Extended",VLOOKUP(J27,Rate_EXT,4),
IF(B27="Parent",VLOOKUP(J27,Rate_PAR,4),
IF(B27="Child",VLOOKUP(J27,Rate_CH,4))))))),0)</f>
        <v>0</v>
      </c>
      <c r="M27" s="75">
        <f>Members!N30</f>
        <v>0</v>
      </c>
      <c r="N2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7" s="165">
        <f>IF(Table3[[#This Row],[Member Type]]="Child",COUNTIFS($B$3:$B$98,"Child",$C$3:$C$98,Table3[[#This Row],[Main Member Link ID]])-COUNTIFS($B28:$B$98,"Child",$C28:$C$98,Table3[[#This Row],[Main Member Link ID]]),
IF(Table3[[#This Row],[Member Type]]="Extended",COUNTIFS($B$3:$B$98,"Extended",$C$3:$C$98,Table3[[#This Row],[Main Member Link ID]])-COUNTIFS($B28:$B$98,"Extended",$C28:$C$98,Table3[[#This Row],[Main Member Link ID]]),
IF(Table3[[#This Row],[Member Type]]="Parent",COUNTIFS($B$3:$B$98,"Parent",$C$3:$C$98,Table3[[#This Row],[Main Member Link ID]])-COUNTIFS($B28:$B$98,"Parent",$C28:$C$98,Table3[[#This Row],[Main Member Link ID]]),
IF(Table3[[#This Row],[Member Type]]="Spouse",COUNTIFS($B$3:$B$98,"Spouse",$C$3:$C$98,Table3[[#This Row],[Main Member Link ID]])-COUNTIFS($B28:$B$98,"Spouse",$C28:$C$98,Table3[[#This Row],[Main Member Link ID]]),
IF(Table3[[#This Row],[Member Type]]="Main Member",COUNTIFS($B$3:$B$98,"Main Member",$C$3:$C$98,Table3[[#This Row],[Main Member Link ID]])-COUNTIFS($B28:$B$98,"Main Member",$C28:$C$98,Table3[[#This Row],[Main Member Link ID]]),
IF(Table3[[#This Row],[Member Type]]="Beneficiary",COUNTIFS($B$3:$B$98,"Beneficiary",$C$3:$C$98,Table3[[#This Row],[Main Member Link ID]])-COUNTIFS($B28:$B$98,"Beneficiary",$C28:$C$98,Table3[[#This Row],[Main Member Link ID]]),0))))))</f>
        <v>0</v>
      </c>
      <c r="Q2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7" s="166">
        <f>IF(Table3[[#This Row],[Member Type]]="Child",Table3[[#This Row],[Rate per 10,000]]/10000*Table3[[#This Row],[Cover Amount]],0)</f>
        <v>0</v>
      </c>
      <c r="S27" s="165">
        <f>IF(Table3[[#This Row],[Member Type]]="Child",COUNTIFS(Table3[Each Child Premium],Table3[[#This Row],[Each Child Premium]],Table3[Main Member Link ID],Table3[[#This Row],[Main Member Link ID]]),0)</f>
        <v>0</v>
      </c>
      <c r="T27" s="165" t="str">
        <f>IF(Table3[[#This Row],[No. of Child with same Cover Amont under a policy]]=0,"",IF(Table3[[#This Row],[Each Child Premium]]&gt;=_xlfn.MAXIFS(Table3[Each Child Premium],Table3[Main Member Link ID],Table3[[#This Row],[Main Member Link ID]]),"Yes",""))</f>
        <v/>
      </c>
      <c r="U2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policy]]&gt;1,J27=_xlfn.MINIFS(Table3[Age],Table3[Member Type],"Child",Table3[Main Member Link ID],Table3[[#This Row],[Main Member Link ID]],Table3[No. of Child with same Cover Amont under a policy],Table3[[#This Row],[No. of Child with same Cover Amont under a policy]])),1,0)),0)</f>
        <v>0</v>
      </c>
    </row>
    <row r="28" spans="2:21" x14ac:dyDescent="0.3">
      <c r="B28" s="173">
        <f>Members!B31</f>
        <v>0</v>
      </c>
      <c r="C28" s="174">
        <f>Members!E31</f>
        <v>0</v>
      </c>
      <c r="D28" s="174">
        <f>Members!F31</f>
        <v>0</v>
      </c>
      <c r="E28" s="174">
        <f>Members!G31</f>
        <v>0</v>
      </c>
      <c r="F28" s="72">
        <f>Members!H31</f>
        <v>0</v>
      </c>
      <c r="G28" s="71">
        <f>Members!I31</f>
        <v>0</v>
      </c>
      <c r="H28" s="71" t="str">
        <f>Members!J31</f>
        <v/>
      </c>
      <c r="I28" s="72">
        <f>Members!K31</f>
        <v>0</v>
      </c>
      <c r="J28" s="73">
        <f t="shared" si="1"/>
        <v>1</v>
      </c>
      <c r="K28" s="74">
        <f>IFERROR(IF(OR(B28=0,Table3[[#This Row],[Age]]=0,Table3[[#This Row],[Member Type]]="Beneficiary"),0,
IF(B28="Main Member",VLOOKUP(J28,Rate_MM,5),
IF(B28="Spouse",VLOOKUP(J28,Rate_SP,5),
IF(B28="Extended",VLOOKUP(J28,Rate_EXT,5),
IF(B28="Parent",VLOOKUP(J28,Rate_PAR,5),
IF(B28="Child",VLOOKUP(J28,Rate_CH,5))))))),0)</f>
        <v>0</v>
      </c>
      <c r="L28" s="74">
        <f>IFERROR(IF(OR(B28=0,Table3[[#This Row],[Age]]=0,Table3[[#This Row],[Member Type]]="Beneficiary"),0,
IF(B28="Main Member",VLOOKUP(J28,Rate_MM,4),
IF(B28="Spouse",VLOOKUP(J28,Rate_SP,4),
IF(B28="Extended",VLOOKUP(J28,Rate_EXT,4),
IF(B28="Parent",VLOOKUP(J28,Rate_PAR,4),
IF(B28="Child",VLOOKUP(J28,Rate_CH,4))))))),0)</f>
        <v>0</v>
      </c>
      <c r="M28" s="75">
        <f>Members!N31</f>
        <v>0</v>
      </c>
      <c r="N2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8" s="165">
        <f>IF(Table3[[#This Row],[Member Type]]="Child",COUNTIFS($B$3:$B$98,"Child",$C$3:$C$98,Table3[[#This Row],[Main Member Link ID]])-COUNTIFS($B29:$B$98,"Child",$C29:$C$98,Table3[[#This Row],[Main Member Link ID]]),
IF(Table3[[#This Row],[Member Type]]="Extended",COUNTIFS($B$3:$B$98,"Extended",$C$3:$C$98,Table3[[#This Row],[Main Member Link ID]])-COUNTIFS($B29:$B$98,"Extended",$C29:$C$98,Table3[[#This Row],[Main Member Link ID]]),
IF(Table3[[#This Row],[Member Type]]="Parent",COUNTIFS($B$3:$B$98,"Parent",$C$3:$C$98,Table3[[#This Row],[Main Member Link ID]])-COUNTIFS($B29:$B$98,"Parent",$C29:$C$98,Table3[[#This Row],[Main Member Link ID]]),
IF(Table3[[#This Row],[Member Type]]="Spouse",COUNTIFS($B$3:$B$98,"Spouse",$C$3:$C$98,Table3[[#This Row],[Main Member Link ID]])-COUNTIFS($B29:$B$98,"Spouse",$C29:$C$98,Table3[[#This Row],[Main Member Link ID]]),
IF(Table3[[#This Row],[Member Type]]="Main Member",COUNTIFS($B$3:$B$98,"Main Member",$C$3:$C$98,Table3[[#This Row],[Main Member Link ID]])-COUNTIFS($B29:$B$98,"Main Member",$C29:$C$98,Table3[[#This Row],[Main Member Link ID]]),
IF(Table3[[#This Row],[Member Type]]="Beneficiary",COUNTIFS($B$3:$B$98,"Beneficiary",$C$3:$C$98,Table3[[#This Row],[Main Member Link ID]])-COUNTIFS($B29:$B$98,"Beneficiary",$C29:$C$98,Table3[[#This Row],[Main Member Link ID]]),0))))))</f>
        <v>0</v>
      </c>
      <c r="Q2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8" s="166">
        <f>IF(Table3[[#This Row],[Member Type]]="Child",Table3[[#This Row],[Rate per 10,000]]/10000*Table3[[#This Row],[Cover Amount]],0)</f>
        <v>0</v>
      </c>
      <c r="S28" s="165">
        <f>IF(Table3[[#This Row],[Member Type]]="Child",COUNTIFS(Table3[Each Child Premium],Table3[[#This Row],[Each Child Premium]],Table3[Main Member Link ID],Table3[[#This Row],[Main Member Link ID]]),0)</f>
        <v>0</v>
      </c>
      <c r="T28" s="165" t="str">
        <f>IF(Table3[[#This Row],[No. of Child with same Cover Amont under a policy]]=0,"",IF(Table3[[#This Row],[Each Child Premium]]&gt;=_xlfn.MAXIFS(Table3[Each Child Premium],Table3[Main Member Link ID],Table3[[#This Row],[Main Member Link ID]]),"Yes",""))</f>
        <v/>
      </c>
      <c r="U2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policy]]&gt;1,J28=_xlfn.MINIFS(Table3[Age],Table3[Member Type],"Child",Table3[Main Member Link ID],Table3[[#This Row],[Main Member Link ID]],Table3[No. of Child with same Cover Amont under a policy],Table3[[#This Row],[No. of Child with same Cover Amont under a policy]])),1,0)),0)</f>
        <v>0</v>
      </c>
    </row>
    <row r="29" spans="2:21" x14ac:dyDescent="0.3">
      <c r="B29" s="173">
        <f>Members!B32</f>
        <v>0</v>
      </c>
      <c r="C29" s="174">
        <f>Members!E32</f>
        <v>0</v>
      </c>
      <c r="D29" s="174">
        <f>Members!F32</f>
        <v>0</v>
      </c>
      <c r="E29" s="174">
        <f>Members!G32</f>
        <v>0</v>
      </c>
      <c r="F29" s="72">
        <f>Members!H32</f>
        <v>0</v>
      </c>
      <c r="G29" s="71">
        <f>Members!I32</f>
        <v>0</v>
      </c>
      <c r="H29" s="71" t="str">
        <f>Members!J32</f>
        <v/>
      </c>
      <c r="I29" s="72">
        <f>Members!K32</f>
        <v>0</v>
      </c>
      <c r="J29" s="73">
        <f t="shared" si="1"/>
        <v>1</v>
      </c>
      <c r="K29" s="74">
        <f>IFERROR(IF(OR(B29=0,Table3[[#This Row],[Age]]=0,Table3[[#This Row],[Member Type]]="Beneficiary"),0,
IF(B29="Main Member",VLOOKUP(J29,Rate_MM,5),
IF(B29="Spouse",VLOOKUP(J29,Rate_SP,5),
IF(B29="Extended",VLOOKUP(J29,Rate_EXT,5),
IF(B29="Parent",VLOOKUP(J29,Rate_PAR,5),
IF(B29="Child",VLOOKUP(J29,Rate_CH,5))))))),0)</f>
        <v>0</v>
      </c>
      <c r="L29" s="74">
        <f>IFERROR(IF(OR(B29=0,Table3[[#This Row],[Age]]=0,Table3[[#This Row],[Member Type]]="Beneficiary"),0,
IF(B29="Main Member",VLOOKUP(J29,Rate_MM,4),
IF(B29="Spouse",VLOOKUP(J29,Rate_SP,4),
IF(B29="Extended",VLOOKUP(J29,Rate_EXT,4),
IF(B29="Parent",VLOOKUP(J29,Rate_PAR,4),
IF(B29="Child",VLOOKUP(J29,Rate_CH,4))))))),0)</f>
        <v>0</v>
      </c>
      <c r="M29" s="75">
        <f>Members!N32</f>
        <v>0</v>
      </c>
      <c r="N2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2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29" s="165">
        <f>IF(Table3[[#This Row],[Member Type]]="Child",COUNTIFS($B$3:$B$98,"Child",$C$3:$C$98,Table3[[#This Row],[Main Member Link ID]])-COUNTIFS($B30:$B$98,"Child",$C30:$C$98,Table3[[#This Row],[Main Member Link ID]]),
IF(Table3[[#This Row],[Member Type]]="Extended",COUNTIFS($B$3:$B$98,"Extended",$C$3:$C$98,Table3[[#This Row],[Main Member Link ID]])-COUNTIFS($B30:$B$98,"Extended",$C30:$C$98,Table3[[#This Row],[Main Member Link ID]]),
IF(Table3[[#This Row],[Member Type]]="Parent",COUNTIFS($B$3:$B$98,"Parent",$C$3:$C$98,Table3[[#This Row],[Main Member Link ID]])-COUNTIFS($B30:$B$98,"Parent",$C30:$C$98,Table3[[#This Row],[Main Member Link ID]]),
IF(Table3[[#This Row],[Member Type]]="Spouse",COUNTIFS($B$3:$B$98,"Spouse",$C$3:$C$98,Table3[[#This Row],[Main Member Link ID]])-COUNTIFS($B30:$B$98,"Spouse",$C30:$C$98,Table3[[#This Row],[Main Member Link ID]]),
IF(Table3[[#This Row],[Member Type]]="Main Member",COUNTIFS($B$3:$B$98,"Main Member",$C$3:$C$98,Table3[[#This Row],[Main Member Link ID]])-COUNTIFS($B30:$B$98,"Main Member",$C30:$C$98,Table3[[#This Row],[Main Member Link ID]]),
IF(Table3[[#This Row],[Member Type]]="Beneficiary",COUNTIFS($B$3:$B$98,"Beneficiary",$C$3:$C$98,Table3[[#This Row],[Main Member Link ID]])-COUNTIFS($B30:$B$98,"Beneficiary",$C30:$C$98,Table3[[#This Row],[Main Member Link ID]]),0))))))</f>
        <v>0</v>
      </c>
      <c r="Q2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29" s="166">
        <f>IF(Table3[[#This Row],[Member Type]]="Child",Table3[[#This Row],[Rate per 10,000]]/10000*Table3[[#This Row],[Cover Amount]],0)</f>
        <v>0</v>
      </c>
      <c r="S29" s="165">
        <f>IF(Table3[[#This Row],[Member Type]]="Child",COUNTIFS(Table3[Each Child Premium],Table3[[#This Row],[Each Child Premium]],Table3[Main Member Link ID],Table3[[#This Row],[Main Member Link ID]]),0)</f>
        <v>0</v>
      </c>
      <c r="T29" s="165" t="str">
        <f>IF(Table3[[#This Row],[No. of Child with same Cover Amont under a policy]]=0,"",IF(Table3[[#This Row],[Each Child Premium]]&gt;=_xlfn.MAXIFS(Table3[Each Child Premium],Table3[Main Member Link ID],Table3[[#This Row],[Main Member Link ID]]),"Yes",""))</f>
        <v/>
      </c>
      <c r="U2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policy]]&gt;1,J29=_xlfn.MINIFS(Table3[Age],Table3[Member Type],"Child",Table3[Main Member Link ID],Table3[[#This Row],[Main Member Link ID]],Table3[No. of Child with same Cover Amont under a policy],Table3[[#This Row],[No. of Child with same Cover Amont under a policy]])),1,0)),0)</f>
        <v>0</v>
      </c>
    </row>
    <row r="30" spans="2:21" x14ac:dyDescent="0.3">
      <c r="B30" s="173">
        <f>Members!B33</f>
        <v>0</v>
      </c>
      <c r="C30" s="174">
        <f>Members!E33</f>
        <v>0</v>
      </c>
      <c r="D30" s="174">
        <f>Members!F33</f>
        <v>0</v>
      </c>
      <c r="E30" s="174">
        <f>Members!G33</f>
        <v>0</v>
      </c>
      <c r="F30" s="72">
        <f>Members!H33</f>
        <v>0</v>
      </c>
      <c r="G30" s="71">
        <f>Members!I33</f>
        <v>0</v>
      </c>
      <c r="H30" s="71" t="str">
        <f>Members!J33</f>
        <v/>
      </c>
      <c r="I30" s="72">
        <f>Members!K33</f>
        <v>0</v>
      </c>
      <c r="J30" s="73">
        <f t="shared" si="1"/>
        <v>1</v>
      </c>
      <c r="K30" s="74">
        <f>IFERROR(IF(OR(B30=0,Table3[[#This Row],[Age]]=0,Table3[[#This Row],[Member Type]]="Beneficiary"),0,
IF(B30="Main Member",VLOOKUP(J30,Rate_MM,5),
IF(B30="Spouse",VLOOKUP(J30,Rate_SP,5),
IF(B30="Extended",VLOOKUP(J30,Rate_EXT,5),
IF(B30="Parent",VLOOKUP(J30,Rate_PAR,5),
IF(B30="Child",VLOOKUP(J30,Rate_CH,5))))))),0)</f>
        <v>0</v>
      </c>
      <c r="L30" s="74">
        <f>IFERROR(IF(OR(B30=0,Table3[[#This Row],[Age]]=0,Table3[[#This Row],[Member Type]]="Beneficiary"),0,
IF(B30="Main Member",VLOOKUP(J30,Rate_MM,4),
IF(B30="Spouse",VLOOKUP(J30,Rate_SP,4),
IF(B30="Extended",VLOOKUP(J30,Rate_EXT,4),
IF(B30="Parent",VLOOKUP(J30,Rate_PAR,4),
IF(B30="Child",VLOOKUP(J30,Rate_CH,4))))))),0)</f>
        <v>0</v>
      </c>
      <c r="M30" s="75">
        <f>Members!N33</f>
        <v>0</v>
      </c>
      <c r="N3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0" s="165">
        <f>IF(Table3[[#This Row],[Member Type]]="Child",COUNTIFS($B$3:$B$98,"Child",$C$3:$C$98,Table3[[#This Row],[Main Member Link ID]])-COUNTIFS($B31:$B$98,"Child",$C31:$C$98,Table3[[#This Row],[Main Member Link ID]]),
IF(Table3[[#This Row],[Member Type]]="Extended",COUNTIFS($B$3:$B$98,"Extended",$C$3:$C$98,Table3[[#This Row],[Main Member Link ID]])-COUNTIFS($B31:$B$98,"Extended",$C31:$C$98,Table3[[#This Row],[Main Member Link ID]]),
IF(Table3[[#This Row],[Member Type]]="Parent",COUNTIFS($B$3:$B$98,"Parent",$C$3:$C$98,Table3[[#This Row],[Main Member Link ID]])-COUNTIFS($B31:$B$98,"Parent",$C31:$C$98,Table3[[#This Row],[Main Member Link ID]]),
IF(Table3[[#This Row],[Member Type]]="Spouse",COUNTIFS($B$3:$B$98,"Spouse",$C$3:$C$98,Table3[[#This Row],[Main Member Link ID]])-COUNTIFS($B31:$B$98,"Spouse",$C31:$C$98,Table3[[#This Row],[Main Member Link ID]]),
IF(Table3[[#This Row],[Member Type]]="Main Member",COUNTIFS($B$3:$B$98,"Main Member",$C$3:$C$98,Table3[[#This Row],[Main Member Link ID]])-COUNTIFS($B31:$B$98,"Main Member",$C31:$C$98,Table3[[#This Row],[Main Member Link ID]]),
IF(Table3[[#This Row],[Member Type]]="Beneficiary",COUNTIFS($B$3:$B$98,"Beneficiary",$C$3:$C$98,Table3[[#This Row],[Main Member Link ID]])-COUNTIFS($B31:$B$98,"Beneficiary",$C31:$C$98,Table3[[#This Row],[Main Member Link ID]]),0))))))</f>
        <v>0</v>
      </c>
      <c r="Q3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0" s="166">
        <f>IF(Table3[[#This Row],[Member Type]]="Child",Table3[[#This Row],[Rate per 10,000]]/10000*Table3[[#This Row],[Cover Amount]],0)</f>
        <v>0</v>
      </c>
      <c r="S30" s="165">
        <f>IF(Table3[[#This Row],[Member Type]]="Child",COUNTIFS(Table3[Each Child Premium],Table3[[#This Row],[Each Child Premium]],Table3[Main Member Link ID],Table3[[#This Row],[Main Member Link ID]]),0)</f>
        <v>0</v>
      </c>
      <c r="T30" s="165" t="str">
        <f>IF(Table3[[#This Row],[No. of Child with same Cover Amont under a policy]]=0,"",IF(Table3[[#This Row],[Each Child Premium]]&gt;=_xlfn.MAXIFS(Table3[Each Child Premium],Table3[Main Member Link ID],Table3[[#This Row],[Main Member Link ID]]),"Yes",""))</f>
        <v/>
      </c>
      <c r="U3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policy]]&gt;1,J30=_xlfn.MINIFS(Table3[Age],Table3[Member Type],"Child",Table3[Main Member Link ID],Table3[[#This Row],[Main Member Link ID]],Table3[No. of Child with same Cover Amont under a policy],Table3[[#This Row],[No. of Child with same Cover Amont under a policy]])),1,0)),0)</f>
        <v>0</v>
      </c>
    </row>
    <row r="31" spans="2:21" x14ac:dyDescent="0.3">
      <c r="B31" s="173">
        <f>Members!B34</f>
        <v>0</v>
      </c>
      <c r="C31" s="174">
        <f>Members!E34</f>
        <v>0</v>
      </c>
      <c r="D31" s="174">
        <f>Members!F34</f>
        <v>0</v>
      </c>
      <c r="E31" s="174">
        <f>Members!G34</f>
        <v>0</v>
      </c>
      <c r="F31" s="72">
        <f>Members!H34</f>
        <v>0</v>
      </c>
      <c r="G31" s="71">
        <f>Members!I34</f>
        <v>0</v>
      </c>
      <c r="H31" s="71" t="str">
        <f>Members!J34</f>
        <v/>
      </c>
      <c r="I31" s="72">
        <f>Members!K34</f>
        <v>0</v>
      </c>
      <c r="J31" s="73">
        <f t="shared" si="1"/>
        <v>1</v>
      </c>
      <c r="K31" s="74">
        <f>IFERROR(IF(OR(B31=0,Table3[[#This Row],[Age]]=0,Table3[[#This Row],[Member Type]]="Beneficiary"),0,
IF(B31="Main Member",VLOOKUP(J31,Rate_MM,5),
IF(B31="Spouse",VLOOKUP(J31,Rate_SP,5),
IF(B31="Extended",VLOOKUP(J31,Rate_EXT,5),
IF(B31="Parent",VLOOKUP(J31,Rate_PAR,5),
IF(B31="Child",VLOOKUP(J31,Rate_CH,5))))))),0)</f>
        <v>0</v>
      </c>
      <c r="L31" s="74">
        <f>IFERROR(IF(OR(B31=0,Table3[[#This Row],[Age]]=0,Table3[[#This Row],[Member Type]]="Beneficiary"),0,
IF(B31="Main Member",VLOOKUP(J31,Rate_MM,4),
IF(B31="Spouse",VLOOKUP(J31,Rate_SP,4),
IF(B31="Extended",VLOOKUP(J31,Rate_EXT,4),
IF(B31="Parent",VLOOKUP(J31,Rate_PAR,4),
IF(B31="Child",VLOOKUP(J31,Rate_CH,4))))))),0)</f>
        <v>0</v>
      </c>
      <c r="M31" s="75">
        <f>Members!N34</f>
        <v>0</v>
      </c>
      <c r="N3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1" s="165">
        <f>IF(Table3[[#This Row],[Member Type]]="Child",COUNTIFS($B$3:$B$98,"Child",$C$3:$C$98,Table3[[#This Row],[Main Member Link ID]])-COUNTIFS($B32:$B$98,"Child",$C32:$C$98,Table3[[#This Row],[Main Member Link ID]]),
IF(Table3[[#This Row],[Member Type]]="Extended",COUNTIFS($B$3:$B$98,"Extended",$C$3:$C$98,Table3[[#This Row],[Main Member Link ID]])-COUNTIFS($B32:$B$98,"Extended",$C32:$C$98,Table3[[#This Row],[Main Member Link ID]]),
IF(Table3[[#This Row],[Member Type]]="Parent",COUNTIFS($B$3:$B$98,"Parent",$C$3:$C$98,Table3[[#This Row],[Main Member Link ID]])-COUNTIFS($B32:$B$98,"Parent",$C32:$C$98,Table3[[#This Row],[Main Member Link ID]]),
IF(Table3[[#This Row],[Member Type]]="Spouse",COUNTIFS($B$3:$B$98,"Spouse",$C$3:$C$98,Table3[[#This Row],[Main Member Link ID]])-COUNTIFS($B32:$B$98,"Spouse",$C32:$C$98,Table3[[#This Row],[Main Member Link ID]]),
IF(Table3[[#This Row],[Member Type]]="Main Member",COUNTIFS($B$3:$B$98,"Main Member",$C$3:$C$98,Table3[[#This Row],[Main Member Link ID]])-COUNTIFS($B32:$B$98,"Main Member",$C32:$C$98,Table3[[#This Row],[Main Member Link ID]]),
IF(Table3[[#This Row],[Member Type]]="Beneficiary",COUNTIFS($B$3:$B$98,"Beneficiary",$C$3:$C$98,Table3[[#This Row],[Main Member Link ID]])-COUNTIFS($B32:$B$98,"Beneficiary",$C32:$C$98,Table3[[#This Row],[Main Member Link ID]]),0))))))</f>
        <v>0</v>
      </c>
      <c r="Q3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1" s="166">
        <f>IF(Table3[[#This Row],[Member Type]]="Child",Table3[[#This Row],[Rate per 10,000]]/10000*Table3[[#This Row],[Cover Amount]],0)</f>
        <v>0</v>
      </c>
      <c r="S31" s="165">
        <f>IF(Table3[[#This Row],[Member Type]]="Child",COUNTIFS(Table3[Each Child Premium],Table3[[#This Row],[Each Child Premium]],Table3[Main Member Link ID],Table3[[#This Row],[Main Member Link ID]]),0)</f>
        <v>0</v>
      </c>
      <c r="T31" s="165" t="str">
        <f>IF(Table3[[#This Row],[No. of Child with same Cover Amont under a policy]]=0,"",IF(Table3[[#This Row],[Each Child Premium]]&gt;=_xlfn.MAXIFS(Table3[Each Child Premium],Table3[Main Member Link ID],Table3[[#This Row],[Main Member Link ID]]),"Yes",""))</f>
        <v/>
      </c>
      <c r="U3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policy]]&gt;1,J31=_xlfn.MINIFS(Table3[Age],Table3[Member Type],"Child",Table3[Main Member Link ID],Table3[[#This Row],[Main Member Link ID]],Table3[No. of Child with same Cover Amont under a policy],Table3[[#This Row],[No. of Child with same Cover Amont under a policy]])),1,0)),0)</f>
        <v>0</v>
      </c>
    </row>
    <row r="32" spans="2:21" x14ac:dyDescent="0.3">
      <c r="B32" s="173">
        <f>Members!B35</f>
        <v>0</v>
      </c>
      <c r="C32" s="174">
        <f>Members!E35</f>
        <v>0</v>
      </c>
      <c r="D32" s="174">
        <f>Members!F35</f>
        <v>0</v>
      </c>
      <c r="E32" s="174">
        <f>Members!G35</f>
        <v>0</v>
      </c>
      <c r="F32" s="72">
        <f>Members!H35</f>
        <v>0</v>
      </c>
      <c r="G32" s="71">
        <f>Members!I35</f>
        <v>0</v>
      </c>
      <c r="H32" s="71" t="str">
        <f>Members!J35</f>
        <v/>
      </c>
      <c r="I32" s="72">
        <f>Members!K35</f>
        <v>0</v>
      </c>
      <c r="J32" s="73">
        <f t="shared" si="1"/>
        <v>1</v>
      </c>
      <c r="K32" s="74">
        <f>IFERROR(IF(OR(B32=0,Table3[[#This Row],[Age]]=0,Table3[[#This Row],[Member Type]]="Beneficiary"),0,
IF(B32="Main Member",VLOOKUP(J32,Rate_MM,5),
IF(B32="Spouse",VLOOKUP(J32,Rate_SP,5),
IF(B32="Extended",VLOOKUP(J32,Rate_EXT,5),
IF(B32="Parent",VLOOKUP(J32,Rate_PAR,5),
IF(B32="Child",VLOOKUP(J32,Rate_CH,5))))))),0)</f>
        <v>0</v>
      </c>
      <c r="L32" s="74">
        <f>IFERROR(IF(OR(B32=0,Table3[[#This Row],[Age]]=0,Table3[[#This Row],[Member Type]]="Beneficiary"),0,
IF(B32="Main Member",VLOOKUP(J32,Rate_MM,4),
IF(B32="Spouse",VLOOKUP(J32,Rate_SP,4),
IF(B32="Extended",VLOOKUP(J32,Rate_EXT,4),
IF(B32="Parent",VLOOKUP(J32,Rate_PAR,4),
IF(B32="Child",VLOOKUP(J32,Rate_CH,4))))))),0)</f>
        <v>0</v>
      </c>
      <c r="M32" s="75">
        <f>Members!N35</f>
        <v>0</v>
      </c>
      <c r="N3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2" s="165">
        <f>IF(Table3[[#This Row],[Member Type]]="Child",COUNTIFS($B$3:$B$98,"Child",$C$3:$C$98,Table3[[#This Row],[Main Member Link ID]])-COUNTIFS($B33:$B$98,"Child",$C33:$C$98,Table3[[#This Row],[Main Member Link ID]]),
IF(Table3[[#This Row],[Member Type]]="Extended",COUNTIFS($B$3:$B$98,"Extended",$C$3:$C$98,Table3[[#This Row],[Main Member Link ID]])-COUNTIFS($B33:$B$98,"Extended",$C33:$C$98,Table3[[#This Row],[Main Member Link ID]]),
IF(Table3[[#This Row],[Member Type]]="Parent",COUNTIFS($B$3:$B$98,"Parent",$C$3:$C$98,Table3[[#This Row],[Main Member Link ID]])-COUNTIFS($B33:$B$98,"Parent",$C33:$C$98,Table3[[#This Row],[Main Member Link ID]]),
IF(Table3[[#This Row],[Member Type]]="Spouse",COUNTIFS($B$3:$B$98,"Spouse",$C$3:$C$98,Table3[[#This Row],[Main Member Link ID]])-COUNTIFS($B33:$B$98,"Spouse",$C33:$C$98,Table3[[#This Row],[Main Member Link ID]]),
IF(Table3[[#This Row],[Member Type]]="Main Member",COUNTIFS($B$3:$B$98,"Main Member",$C$3:$C$98,Table3[[#This Row],[Main Member Link ID]])-COUNTIFS($B33:$B$98,"Main Member",$C33:$C$98,Table3[[#This Row],[Main Member Link ID]]),
IF(Table3[[#This Row],[Member Type]]="Beneficiary",COUNTIFS($B$3:$B$98,"Beneficiary",$C$3:$C$98,Table3[[#This Row],[Main Member Link ID]])-COUNTIFS($B33:$B$98,"Beneficiary",$C33:$C$98,Table3[[#This Row],[Main Member Link ID]]),0))))))</f>
        <v>0</v>
      </c>
      <c r="Q3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2" s="166">
        <f>IF(Table3[[#This Row],[Member Type]]="Child",Table3[[#This Row],[Rate per 10,000]]/10000*Table3[[#This Row],[Cover Amount]],0)</f>
        <v>0</v>
      </c>
      <c r="S32" s="165">
        <f>IF(Table3[[#This Row],[Member Type]]="Child",COUNTIFS(Table3[Each Child Premium],Table3[[#This Row],[Each Child Premium]],Table3[Main Member Link ID],Table3[[#This Row],[Main Member Link ID]]),0)</f>
        <v>0</v>
      </c>
      <c r="T32" s="165" t="str">
        <f>IF(Table3[[#This Row],[No. of Child with same Cover Amont under a policy]]=0,"",IF(Table3[[#This Row],[Each Child Premium]]&gt;=_xlfn.MAXIFS(Table3[Each Child Premium],Table3[Main Member Link ID],Table3[[#This Row],[Main Member Link ID]]),"Yes",""))</f>
        <v/>
      </c>
      <c r="U3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policy]]&gt;1,J32=_xlfn.MINIFS(Table3[Age],Table3[Member Type],"Child",Table3[Main Member Link ID],Table3[[#This Row],[Main Member Link ID]],Table3[No. of Child with same Cover Amont under a policy],Table3[[#This Row],[No. of Child with same Cover Amont under a policy]])),1,0)),0)</f>
        <v>0</v>
      </c>
    </row>
    <row r="33" spans="2:21" x14ac:dyDescent="0.3">
      <c r="B33" s="173">
        <f>Members!B36</f>
        <v>0</v>
      </c>
      <c r="C33" s="174">
        <f>Members!E36</f>
        <v>0</v>
      </c>
      <c r="D33" s="174">
        <f>Members!F36</f>
        <v>0</v>
      </c>
      <c r="E33" s="174">
        <f>Members!G36</f>
        <v>0</v>
      </c>
      <c r="F33" s="72">
        <f>Members!H36</f>
        <v>0</v>
      </c>
      <c r="G33" s="71">
        <f>Members!I36</f>
        <v>0</v>
      </c>
      <c r="H33" s="71" t="str">
        <f>Members!J36</f>
        <v/>
      </c>
      <c r="I33" s="72">
        <f>Members!K36</f>
        <v>0</v>
      </c>
      <c r="J33" s="73">
        <f t="shared" si="1"/>
        <v>1</v>
      </c>
      <c r="K33" s="74">
        <f>IFERROR(IF(OR(B33=0,Table3[[#This Row],[Age]]=0,Table3[[#This Row],[Member Type]]="Beneficiary"),0,
IF(B33="Main Member",VLOOKUP(J33,Rate_MM,5),
IF(B33="Spouse",VLOOKUP(J33,Rate_SP,5),
IF(B33="Extended",VLOOKUP(J33,Rate_EXT,5),
IF(B33="Parent",VLOOKUP(J33,Rate_PAR,5),
IF(B33="Child",VLOOKUP(J33,Rate_CH,5))))))),0)</f>
        <v>0</v>
      </c>
      <c r="L33" s="74">
        <f>IFERROR(IF(OR(B33=0,Table3[[#This Row],[Age]]=0,Table3[[#This Row],[Member Type]]="Beneficiary"),0,
IF(B33="Main Member",VLOOKUP(J33,Rate_MM,4),
IF(B33="Spouse",VLOOKUP(J33,Rate_SP,4),
IF(B33="Extended",VLOOKUP(J33,Rate_EXT,4),
IF(B33="Parent",VLOOKUP(J33,Rate_PAR,4),
IF(B33="Child",VLOOKUP(J33,Rate_CH,4))))))),0)</f>
        <v>0</v>
      </c>
      <c r="M33" s="75">
        <f>Members!N36</f>
        <v>0</v>
      </c>
      <c r="N3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3" s="165">
        <f>IF(Table3[[#This Row],[Member Type]]="Child",COUNTIFS($B$3:$B$98,"Child",$C$3:$C$98,Table3[[#This Row],[Main Member Link ID]])-COUNTIFS($B34:$B$98,"Child",$C34:$C$98,Table3[[#This Row],[Main Member Link ID]]),
IF(Table3[[#This Row],[Member Type]]="Extended",COUNTIFS($B$3:$B$98,"Extended",$C$3:$C$98,Table3[[#This Row],[Main Member Link ID]])-COUNTIFS($B34:$B$98,"Extended",$C34:$C$98,Table3[[#This Row],[Main Member Link ID]]),
IF(Table3[[#This Row],[Member Type]]="Parent",COUNTIFS($B$3:$B$98,"Parent",$C$3:$C$98,Table3[[#This Row],[Main Member Link ID]])-COUNTIFS($B34:$B$98,"Parent",$C34:$C$98,Table3[[#This Row],[Main Member Link ID]]),
IF(Table3[[#This Row],[Member Type]]="Spouse",COUNTIFS($B$3:$B$98,"Spouse",$C$3:$C$98,Table3[[#This Row],[Main Member Link ID]])-COUNTIFS($B34:$B$98,"Spouse",$C34:$C$98,Table3[[#This Row],[Main Member Link ID]]),
IF(Table3[[#This Row],[Member Type]]="Main Member",COUNTIFS($B$3:$B$98,"Main Member",$C$3:$C$98,Table3[[#This Row],[Main Member Link ID]])-COUNTIFS($B34:$B$98,"Main Member",$C34:$C$98,Table3[[#This Row],[Main Member Link ID]]),
IF(Table3[[#This Row],[Member Type]]="Beneficiary",COUNTIFS($B$3:$B$98,"Beneficiary",$C$3:$C$98,Table3[[#This Row],[Main Member Link ID]])-COUNTIFS($B34:$B$98,"Beneficiary",$C34:$C$98,Table3[[#This Row],[Main Member Link ID]]),0))))))</f>
        <v>0</v>
      </c>
      <c r="Q3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3" s="166">
        <f>IF(Table3[[#This Row],[Member Type]]="Child",Table3[[#This Row],[Rate per 10,000]]/10000*Table3[[#This Row],[Cover Amount]],0)</f>
        <v>0</v>
      </c>
      <c r="S33" s="165">
        <f>IF(Table3[[#This Row],[Member Type]]="Child",COUNTIFS(Table3[Each Child Premium],Table3[[#This Row],[Each Child Premium]],Table3[Main Member Link ID],Table3[[#This Row],[Main Member Link ID]]),0)</f>
        <v>0</v>
      </c>
      <c r="T33" s="165" t="str">
        <f>IF(Table3[[#This Row],[No. of Child with same Cover Amont under a policy]]=0,"",IF(Table3[[#This Row],[Each Child Premium]]&gt;=_xlfn.MAXIFS(Table3[Each Child Premium],Table3[Main Member Link ID],Table3[[#This Row],[Main Member Link ID]]),"Yes",""))</f>
        <v/>
      </c>
      <c r="U3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policy]]&gt;1,J33=_xlfn.MINIFS(Table3[Age],Table3[Member Type],"Child",Table3[Main Member Link ID],Table3[[#This Row],[Main Member Link ID]],Table3[No. of Child with same Cover Amont under a policy],Table3[[#This Row],[No. of Child with same Cover Amont under a policy]])),1,0)),0)</f>
        <v>0</v>
      </c>
    </row>
    <row r="34" spans="2:21" x14ac:dyDescent="0.3">
      <c r="B34" s="173">
        <f>Members!B37</f>
        <v>0</v>
      </c>
      <c r="C34" s="174">
        <f>Members!E37</f>
        <v>0</v>
      </c>
      <c r="D34" s="174">
        <f>Members!F37</f>
        <v>0</v>
      </c>
      <c r="E34" s="174">
        <f>Members!G37</f>
        <v>0</v>
      </c>
      <c r="F34" s="72">
        <f>Members!H37</f>
        <v>0</v>
      </c>
      <c r="G34" s="71">
        <f>Members!I37</f>
        <v>0</v>
      </c>
      <c r="H34" s="71" t="str">
        <f>Members!J37</f>
        <v/>
      </c>
      <c r="I34" s="72">
        <f>Members!K37</f>
        <v>0</v>
      </c>
      <c r="J34" s="73">
        <f t="shared" si="1"/>
        <v>1</v>
      </c>
      <c r="K34" s="74">
        <f>IFERROR(IF(OR(B34=0,Table3[[#This Row],[Age]]=0,Table3[[#This Row],[Member Type]]="Beneficiary"),0,
IF(B34="Main Member",VLOOKUP(J34,Rate_MM,5),
IF(B34="Spouse",VLOOKUP(J34,Rate_SP,5),
IF(B34="Extended",VLOOKUP(J34,Rate_EXT,5),
IF(B34="Parent",VLOOKUP(J34,Rate_PAR,5),
IF(B34="Child",VLOOKUP(J34,Rate_CH,5))))))),0)</f>
        <v>0</v>
      </c>
      <c r="L34" s="74">
        <f>IFERROR(IF(OR(B34=0,Table3[[#This Row],[Age]]=0,Table3[[#This Row],[Member Type]]="Beneficiary"),0,
IF(B34="Main Member",VLOOKUP(J34,Rate_MM,4),
IF(B34="Spouse",VLOOKUP(J34,Rate_SP,4),
IF(B34="Extended",VLOOKUP(J34,Rate_EXT,4),
IF(B34="Parent",VLOOKUP(J34,Rate_PAR,4),
IF(B34="Child",VLOOKUP(J34,Rate_CH,4))))))),0)</f>
        <v>0</v>
      </c>
      <c r="M34" s="75">
        <f>Members!N37</f>
        <v>0</v>
      </c>
      <c r="N3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4" s="165">
        <f>IF(Table3[[#This Row],[Member Type]]="Child",COUNTIFS($B$3:$B$98,"Child",$C$3:$C$98,Table3[[#This Row],[Main Member Link ID]])-COUNTIFS($B35:$B$98,"Child",$C35:$C$98,Table3[[#This Row],[Main Member Link ID]]),
IF(Table3[[#This Row],[Member Type]]="Extended",COUNTIFS($B$3:$B$98,"Extended",$C$3:$C$98,Table3[[#This Row],[Main Member Link ID]])-COUNTIFS($B35:$B$98,"Extended",$C35:$C$98,Table3[[#This Row],[Main Member Link ID]]),
IF(Table3[[#This Row],[Member Type]]="Parent",COUNTIFS($B$3:$B$98,"Parent",$C$3:$C$98,Table3[[#This Row],[Main Member Link ID]])-COUNTIFS($B35:$B$98,"Parent",$C35:$C$98,Table3[[#This Row],[Main Member Link ID]]),
IF(Table3[[#This Row],[Member Type]]="Spouse",COUNTIFS($B$3:$B$98,"Spouse",$C$3:$C$98,Table3[[#This Row],[Main Member Link ID]])-COUNTIFS($B35:$B$98,"Spouse",$C35:$C$98,Table3[[#This Row],[Main Member Link ID]]),
IF(Table3[[#This Row],[Member Type]]="Main Member",COUNTIFS($B$3:$B$98,"Main Member",$C$3:$C$98,Table3[[#This Row],[Main Member Link ID]])-COUNTIFS($B35:$B$98,"Main Member",$C35:$C$98,Table3[[#This Row],[Main Member Link ID]]),
IF(Table3[[#This Row],[Member Type]]="Beneficiary",COUNTIFS($B$3:$B$98,"Beneficiary",$C$3:$C$98,Table3[[#This Row],[Main Member Link ID]])-COUNTIFS($B35:$B$98,"Beneficiary",$C35:$C$98,Table3[[#This Row],[Main Member Link ID]]),0))))))</f>
        <v>0</v>
      </c>
      <c r="Q3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4" s="166">
        <f>IF(Table3[[#This Row],[Member Type]]="Child",Table3[[#This Row],[Rate per 10,000]]/10000*Table3[[#This Row],[Cover Amount]],0)</f>
        <v>0</v>
      </c>
      <c r="S34" s="165">
        <f>IF(Table3[[#This Row],[Member Type]]="Child",COUNTIFS(Table3[Each Child Premium],Table3[[#This Row],[Each Child Premium]],Table3[Main Member Link ID],Table3[[#This Row],[Main Member Link ID]]),0)</f>
        <v>0</v>
      </c>
      <c r="T34" s="165" t="str">
        <f>IF(Table3[[#This Row],[No. of Child with same Cover Amont under a policy]]=0,"",IF(Table3[[#This Row],[Each Child Premium]]&gt;=_xlfn.MAXIFS(Table3[Each Child Premium],Table3[Main Member Link ID],Table3[[#This Row],[Main Member Link ID]]),"Yes",""))</f>
        <v/>
      </c>
      <c r="U3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policy]]&gt;1,J34=_xlfn.MINIFS(Table3[Age],Table3[Member Type],"Child",Table3[Main Member Link ID],Table3[[#This Row],[Main Member Link ID]],Table3[No. of Child with same Cover Amont under a policy],Table3[[#This Row],[No. of Child with same Cover Amont under a policy]])),1,0)),0)</f>
        <v>0</v>
      </c>
    </row>
    <row r="35" spans="2:21" x14ac:dyDescent="0.3">
      <c r="B35" s="173">
        <f>Members!B38</f>
        <v>0</v>
      </c>
      <c r="C35" s="174">
        <f>Members!E38</f>
        <v>0</v>
      </c>
      <c r="D35" s="174">
        <f>Members!F38</f>
        <v>0</v>
      </c>
      <c r="E35" s="174">
        <f>Members!G38</f>
        <v>0</v>
      </c>
      <c r="F35" s="72">
        <f>Members!H38</f>
        <v>0</v>
      </c>
      <c r="G35" s="71">
        <f>Members!I38</f>
        <v>0</v>
      </c>
      <c r="H35" s="71" t="str">
        <f>Members!J38</f>
        <v/>
      </c>
      <c r="I35" s="72">
        <f>Members!K38</f>
        <v>0</v>
      </c>
      <c r="J35" s="73">
        <f t="shared" si="1"/>
        <v>1</v>
      </c>
      <c r="K35" s="74">
        <f>IFERROR(IF(OR(B35=0,Table3[[#This Row],[Age]]=0,Table3[[#This Row],[Member Type]]="Beneficiary"),0,
IF(B35="Main Member",VLOOKUP(J35,Rate_MM,5),
IF(B35="Spouse",VLOOKUP(J35,Rate_SP,5),
IF(B35="Extended",VLOOKUP(J35,Rate_EXT,5),
IF(B35="Parent",VLOOKUP(J35,Rate_PAR,5),
IF(B35="Child",VLOOKUP(J35,Rate_CH,5))))))),0)</f>
        <v>0</v>
      </c>
      <c r="L35" s="74">
        <f>IFERROR(IF(OR(B35=0,Table3[[#This Row],[Age]]=0,Table3[[#This Row],[Member Type]]="Beneficiary"),0,
IF(B35="Main Member",VLOOKUP(J35,Rate_MM,4),
IF(B35="Spouse",VLOOKUP(J35,Rate_SP,4),
IF(B35="Extended",VLOOKUP(J35,Rate_EXT,4),
IF(B35="Parent",VLOOKUP(J35,Rate_PAR,4),
IF(B35="Child",VLOOKUP(J35,Rate_CH,4))))))),0)</f>
        <v>0</v>
      </c>
      <c r="M35" s="75">
        <f>Members!N38</f>
        <v>0</v>
      </c>
      <c r="N3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5" s="165">
        <f>IF(Table3[[#This Row],[Member Type]]="Child",COUNTIFS($B$3:$B$98,"Child",$C$3:$C$98,Table3[[#This Row],[Main Member Link ID]])-COUNTIFS($B36:$B$98,"Child",$C36:$C$98,Table3[[#This Row],[Main Member Link ID]]),
IF(Table3[[#This Row],[Member Type]]="Extended",COUNTIFS($B$3:$B$98,"Extended",$C$3:$C$98,Table3[[#This Row],[Main Member Link ID]])-COUNTIFS($B36:$B$98,"Extended",$C36:$C$98,Table3[[#This Row],[Main Member Link ID]]),
IF(Table3[[#This Row],[Member Type]]="Parent",COUNTIFS($B$3:$B$98,"Parent",$C$3:$C$98,Table3[[#This Row],[Main Member Link ID]])-COUNTIFS($B36:$B$98,"Parent",$C36:$C$98,Table3[[#This Row],[Main Member Link ID]]),
IF(Table3[[#This Row],[Member Type]]="Spouse",COUNTIFS($B$3:$B$98,"Spouse",$C$3:$C$98,Table3[[#This Row],[Main Member Link ID]])-COUNTIFS($B36:$B$98,"Spouse",$C36:$C$98,Table3[[#This Row],[Main Member Link ID]]),
IF(Table3[[#This Row],[Member Type]]="Main Member",COUNTIFS($B$3:$B$98,"Main Member",$C$3:$C$98,Table3[[#This Row],[Main Member Link ID]])-COUNTIFS($B36:$B$98,"Main Member",$C36:$C$98,Table3[[#This Row],[Main Member Link ID]]),
IF(Table3[[#This Row],[Member Type]]="Beneficiary",COUNTIFS($B$3:$B$98,"Beneficiary",$C$3:$C$98,Table3[[#This Row],[Main Member Link ID]])-COUNTIFS($B36:$B$98,"Beneficiary",$C36:$C$98,Table3[[#This Row],[Main Member Link ID]]),0))))))</f>
        <v>0</v>
      </c>
      <c r="Q3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5" s="166">
        <f>IF(Table3[[#This Row],[Member Type]]="Child",Table3[[#This Row],[Rate per 10,000]]/10000*Table3[[#This Row],[Cover Amount]],0)</f>
        <v>0</v>
      </c>
      <c r="S35" s="165">
        <f>IF(Table3[[#This Row],[Member Type]]="Child",COUNTIFS(Table3[Each Child Premium],Table3[[#This Row],[Each Child Premium]],Table3[Main Member Link ID],Table3[[#This Row],[Main Member Link ID]]),0)</f>
        <v>0</v>
      </c>
      <c r="T35" s="165" t="str">
        <f>IF(Table3[[#This Row],[No. of Child with same Cover Amont under a policy]]=0,"",IF(Table3[[#This Row],[Each Child Premium]]&gt;=_xlfn.MAXIFS(Table3[Each Child Premium],Table3[Main Member Link ID],Table3[[#This Row],[Main Member Link ID]]),"Yes",""))</f>
        <v/>
      </c>
      <c r="U3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policy]]&gt;1,J35=_xlfn.MINIFS(Table3[Age],Table3[Member Type],"Child",Table3[Main Member Link ID],Table3[[#This Row],[Main Member Link ID]],Table3[No. of Child with same Cover Amont under a policy],Table3[[#This Row],[No. of Child with same Cover Amont under a policy]])),1,0)),0)</f>
        <v>0</v>
      </c>
    </row>
    <row r="36" spans="2:21" x14ac:dyDescent="0.3">
      <c r="B36" s="173">
        <f>Members!B39</f>
        <v>0</v>
      </c>
      <c r="C36" s="174">
        <f>Members!E39</f>
        <v>0</v>
      </c>
      <c r="D36" s="174">
        <f>Members!F39</f>
        <v>0</v>
      </c>
      <c r="E36" s="174">
        <f>Members!G39</f>
        <v>0</v>
      </c>
      <c r="F36" s="72">
        <f>Members!H39</f>
        <v>0</v>
      </c>
      <c r="G36" s="71">
        <f>Members!I39</f>
        <v>0</v>
      </c>
      <c r="H36" s="71" t="str">
        <f>Members!J39</f>
        <v/>
      </c>
      <c r="I36" s="72">
        <f>Members!K39</f>
        <v>0</v>
      </c>
      <c r="J36" s="73">
        <f t="shared" si="1"/>
        <v>1</v>
      </c>
      <c r="K36" s="74">
        <f>IFERROR(IF(OR(B36=0,Table3[[#This Row],[Age]]=0,Table3[[#This Row],[Member Type]]="Beneficiary"),0,
IF(B36="Main Member",VLOOKUP(J36,Rate_MM,5),
IF(B36="Spouse",VLOOKUP(J36,Rate_SP,5),
IF(B36="Extended",VLOOKUP(J36,Rate_EXT,5),
IF(B36="Parent",VLOOKUP(J36,Rate_PAR,5),
IF(B36="Child",VLOOKUP(J36,Rate_CH,5))))))),0)</f>
        <v>0</v>
      </c>
      <c r="L36" s="74">
        <f>IFERROR(IF(OR(B36=0,Table3[[#This Row],[Age]]=0,Table3[[#This Row],[Member Type]]="Beneficiary"),0,
IF(B36="Main Member",VLOOKUP(J36,Rate_MM,4),
IF(B36="Spouse",VLOOKUP(J36,Rate_SP,4),
IF(B36="Extended",VLOOKUP(J36,Rate_EXT,4),
IF(B36="Parent",VLOOKUP(J36,Rate_PAR,4),
IF(B36="Child",VLOOKUP(J36,Rate_CH,4))))))),0)</f>
        <v>0</v>
      </c>
      <c r="M36" s="75">
        <f>Members!N39</f>
        <v>0</v>
      </c>
      <c r="N3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6" s="165">
        <f>IF(Table3[[#This Row],[Member Type]]="Child",COUNTIFS($B$3:$B$98,"Child",$C$3:$C$98,Table3[[#This Row],[Main Member Link ID]])-COUNTIFS($B37:$B$98,"Child",$C37:$C$98,Table3[[#This Row],[Main Member Link ID]]),
IF(Table3[[#This Row],[Member Type]]="Extended",COUNTIFS($B$3:$B$98,"Extended",$C$3:$C$98,Table3[[#This Row],[Main Member Link ID]])-COUNTIFS($B37:$B$98,"Extended",$C37:$C$98,Table3[[#This Row],[Main Member Link ID]]),
IF(Table3[[#This Row],[Member Type]]="Parent",COUNTIFS($B$3:$B$98,"Parent",$C$3:$C$98,Table3[[#This Row],[Main Member Link ID]])-COUNTIFS($B37:$B$98,"Parent",$C37:$C$98,Table3[[#This Row],[Main Member Link ID]]),
IF(Table3[[#This Row],[Member Type]]="Spouse",COUNTIFS($B$3:$B$98,"Spouse",$C$3:$C$98,Table3[[#This Row],[Main Member Link ID]])-COUNTIFS($B37:$B$98,"Spouse",$C37:$C$98,Table3[[#This Row],[Main Member Link ID]]),
IF(Table3[[#This Row],[Member Type]]="Main Member",COUNTIFS($B$3:$B$98,"Main Member",$C$3:$C$98,Table3[[#This Row],[Main Member Link ID]])-COUNTIFS($B37:$B$98,"Main Member",$C37:$C$98,Table3[[#This Row],[Main Member Link ID]]),
IF(Table3[[#This Row],[Member Type]]="Beneficiary",COUNTIFS($B$3:$B$98,"Beneficiary",$C$3:$C$98,Table3[[#This Row],[Main Member Link ID]])-COUNTIFS($B37:$B$98,"Beneficiary",$C37:$C$98,Table3[[#This Row],[Main Member Link ID]]),0))))))</f>
        <v>0</v>
      </c>
      <c r="Q3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6" s="166">
        <f>IF(Table3[[#This Row],[Member Type]]="Child",Table3[[#This Row],[Rate per 10,000]]/10000*Table3[[#This Row],[Cover Amount]],0)</f>
        <v>0</v>
      </c>
      <c r="S36" s="165">
        <f>IF(Table3[[#This Row],[Member Type]]="Child",COUNTIFS(Table3[Each Child Premium],Table3[[#This Row],[Each Child Premium]],Table3[Main Member Link ID],Table3[[#This Row],[Main Member Link ID]]),0)</f>
        <v>0</v>
      </c>
      <c r="T36" s="165" t="str">
        <f>IF(Table3[[#This Row],[No. of Child with same Cover Amont under a policy]]=0,"",IF(Table3[[#This Row],[Each Child Premium]]&gt;=_xlfn.MAXIFS(Table3[Each Child Premium],Table3[Main Member Link ID],Table3[[#This Row],[Main Member Link ID]]),"Yes",""))</f>
        <v/>
      </c>
      <c r="U3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policy]]&gt;1,J36=_xlfn.MINIFS(Table3[Age],Table3[Member Type],"Child",Table3[Main Member Link ID],Table3[[#This Row],[Main Member Link ID]],Table3[No. of Child with same Cover Amont under a policy],Table3[[#This Row],[No. of Child with same Cover Amont under a policy]])),1,0)),0)</f>
        <v>0</v>
      </c>
    </row>
    <row r="37" spans="2:21" x14ac:dyDescent="0.3">
      <c r="B37" s="173">
        <f>Members!B40</f>
        <v>0</v>
      </c>
      <c r="C37" s="174">
        <f>Members!E40</f>
        <v>0</v>
      </c>
      <c r="D37" s="174">
        <f>Members!F40</f>
        <v>0</v>
      </c>
      <c r="E37" s="174">
        <f>Members!G40</f>
        <v>0</v>
      </c>
      <c r="F37" s="72">
        <f>Members!H40</f>
        <v>0</v>
      </c>
      <c r="G37" s="71">
        <f>Members!I40</f>
        <v>0</v>
      </c>
      <c r="H37" s="71" t="str">
        <f>Members!J40</f>
        <v/>
      </c>
      <c r="I37" s="72">
        <f>Members!K40</f>
        <v>0</v>
      </c>
      <c r="J37" s="73">
        <f t="shared" si="1"/>
        <v>1</v>
      </c>
      <c r="K37" s="74">
        <f>IFERROR(IF(OR(B37=0,Table3[[#This Row],[Age]]=0,Table3[[#This Row],[Member Type]]="Beneficiary"),0,
IF(B37="Main Member",VLOOKUP(J37,Rate_MM,5),
IF(B37="Spouse",VLOOKUP(J37,Rate_SP,5),
IF(B37="Extended",VLOOKUP(J37,Rate_EXT,5),
IF(B37="Parent",VLOOKUP(J37,Rate_PAR,5),
IF(B37="Child",VLOOKUP(J37,Rate_CH,5))))))),0)</f>
        <v>0</v>
      </c>
      <c r="L37" s="74">
        <f>IFERROR(IF(OR(B37=0,Table3[[#This Row],[Age]]=0,Table3[[#This Row],[Member Type]]="Beneficiary"),0,
IF(B37="Main Member",VLOOKUP(J37,Rate_MM,4),
IF(B37="Spouse",VLOOKUP(J37,Rate_SP,4),
IF(B37="Extended",VLOOKUP(J37,Rate_EXT,4),
IF(B37="Parent",VLOOKUP(J37,Rate_PAR,4),
IF(B37="Child",VLOOKUP(J37,Rate_CH,4))))))),0)</f>
        <v>0</v>
      </c>
      <c r="M37" s="75">
        <f>Members!N40</f>
        <v>0</v>
      </c>
      <c r="N3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7" s="165">
        <f>IF(Table3[[#This Row],[Member Type]]="Child",COUNTIFS($B$3:$B$98,"Child",$C$3:$C$98,Table3[[#This Row],[Main Member Link ID]])-COUNTIFS($B38:$B$98,"Child",$C38:$C$98,Table3[[#This Row],[Main Member Link ID]]),
IF(Table3[[#This Row],[Member Type]]="Extended",COUNTIFS($B$3:$B$98,"Extended",$C$3:$C$98,Table3[[#This Row],[Main Member Link ID]])-COUNTIFS($B38:$B$98,"Extended",$C38:$C$98,Table3[[#This Row],[Main Member Link ID]]),
IF(Table3[[#This Row],[Member Type]]="Parent",COUNTIFS($B$3:$B$98,"Parent",$C$3:$C$98,Table3[[#This Row],[Main Member Link ID]])-COUNTIFS($B38:$B$98,"Parent",$C38:$C$98,Table3[[#This Row],[Main Member Link ID]]),
IF(Table3[[#This Row],[Member Type]]="Spouse",COUNTIFS($B$3:$B$98,"Spouse",$C$3:$C$98,Table3[[#This Row],[Main Member Link ID]])-COUNTIFS($B38:$B$98,"Spouse",$C38:$C$98,Table3[[#This Row],[Main Member Link ID]]),
IF(Table3[[#This Row],[Member Type]]="Main Member",COUNTIFS($B$3:$B$98,"Main Member",$C$3:$C$98,Table3[[#This Row],[Main Member Link ID]])-COUNTIFS($B38:$B$98,"Main Member",$C38:$C$98,Table3[[#This Row],[Main Member Link ID]]),
IF(Table3[[#This Row],[Member Type]]="Beneficiary",COUNTIFS($B$3:$B$98,"Beneficiary",$C$3:$C$98,Table3[[#This Row],[Main Member Link ID]])-COUNTIFS($B38:$B$98,"Beneficiary",$C38:$C$98,Table3[[#This Row],[Main Member Link ID]]),0))))))</f>
        <v>0</v>
      </c>
      <c r="Q3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7" s="166">
        <f>IF(Table3[[#This Row],[Member Type]]="Child",Table3[[#This Row],[Rate per 10,000]]/10000*Table3[[#This Row],[Cover Amount]],0)</f>
        <v>0</v>
      </c>
      <c r="S37" s="165">
        <f>IF(Table3[[#This Row],[Member Type]]="Child",COUNTIFS(Table3[Each Child Premium],Table3[[#This Row],[Each Child Premium]],Table3[Main Member Link ID],Table3[[#This Row],[Main Member Link ID]]),0)</f>
        <v>0</v>
      </c>
      <c r="T37" s="165" t="str">
        <f>IF(Table3[[#This Row],[No. of Child with same Cover Amont under a policy]]=0,"",IF(Table3[[#This Row],[Each Child Premium]]&gt;=_xlfn.MAXIFS(Table3[Each Child Premium],Table3[Main Member Link ID],Table3[[#This Row],[Main Member Link ID]]),"Yes",""))</f>
        <v/>
      </c>
      <c r="U3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policy]]&gt;1,J37=_xlfn.MINIFS(Table3[Age],Table3[Member Type],"Child",Table3[Main Member Link ID],Table3[[#This Row],[Main Member Link ID]],Table3[No. of Child with same Cover Amont under a policy],Table3[[#This Row],[No. of Child with same Cover Amont under a policy]])),1,0)),0)</f>
        <v>0</v>
      </c>
    </row>
    <row r="38" spans="2:21" x14ac:dyDescent="0.3">
      <c r="B38" s="173">
        <f>Members!B41</f>
        <v>0</v>
      </c>
      <c r="C38" s="174">
        <f>Members!E41</f>
        <v>0</v>
      </c>
      <c r="D38" s="174">
        <f>Members!F41</f>
        <v>0</v>
      </c>
      <c r="E38" s="174">
        <f>Members!G41</f>
        <v>0</v>
      </c>
      <c r="F38" s="72">
        <f>Members!H41</f>
        <v>0</v>
      </c>
      <c r="G38" s="71">
        <f>Members!I41</f>
        <v>0</v>
      </c>
      <c r="H38" s="71" t="str">
        <f>Members!J41</f>
        <v/>
      </c>
      <c r="I38" s="72">
        <f>Members!K41</f>
        <v>0</v>
      </c>
      <c r="J38" s="73">
        <f t="shared" si="1"/>
        <v>1</v>
      </c>
      <c r="K38" s="74">
        <f>IFERROR(IF(OR(B38=0,Table3[[#This Row],[Age]]=0,Table3[[#This Row],[Member Type]]="Beneficiary"),0,
IF(B38="Main Member",VLOOKUP(J38,Rate_MM,5),
IF(B38="Spouse",VLOOKUP(J38,Rate_SP,5),
IF(B38="Extended",VLOOKUP(J38,Rate_EXT,5),
IF(B38="Parent",VLOOKUP(J38,Rate_PAR,5),
IF(B38="Child",VLOOKUP(J38,Rate_CH,5))))))),0)</f>
        <v>0</v>
      </c>
      <c r="L38" s="74">
        <f>IFERROR(IF(OR(B38=0,Table3[[#This Row],[Age]]=0,Table3[[#This Row],[Member Type]]="Beneficiary"),0,
IF(B38="Main Member",VLOOKUP(J38,Rate_MM,4),
IF(B38="Spouse",VLOOKUP(J38,Rate_SP,4),
IF(B38="Extended",VLOOKUP(J38,Rate_EXT,4),
IF(B38="Parent",VLOOKUP(J38,Rate_PAR,4),
IF(B38="Child",VLOOKUP(J38,Rate_CH,4))))))),0)</f>
        <v>0</v>
      </c>
      <c r="M38" s="75">
        <f>Members!N41</f>
        <v>0</v>
      </c>
      <c r="N3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8" s="165">
        <f>IF(Table3[[#This Row],[Member Type]]="Child",COUNTIFS($B$3:$B$98,"Child",$C$3:$C$98,Table3[[#This Row],[Main Member Link ID]])-COUNTIFS($B39:$B$98,"Child",$C39:$C$98,Table3[[#This Row],[Main Member Link ID]]),
IF(Table3[[#This Row],[Member Type]]="Extended",COUNTIFS($B$3:$B$98,"Extended",$C$3:$C$98,Table3[[#This Row],[Main Member Link ID]])-COUNTIFS($B39:$B$98,"Extended",$C39:$C$98,Table3[[#This Row],[Main Member Link ID]]),
IF(Table3[[#This Row],[Member Type]]="Parent",COUNTIFS($B$3:$B$98,"Parent",$C$3:$C$98,Table3[[#This Row],[Main Member Link ID]])-COUNTIFS($B39:$B$98,"Parent",$C39:$C$98,Table3[[#This Row],[Main Member Link ID]]),
IF(Table3[[#This Row],[Member Type]]="Spouse",COUNTIFS($B$3:$B$98,"Spouse",$C$3:$C$98,Table3[[#This Row],[Main Member Link ID]])-COUNTIFS($B39:$B$98,"Spouse",$C39:$C$98,Table3[[#This Row],[Main Member Link ID]]),
IF(Table3[[#This Row],[Member Type]]="Main Member",COUNTIFS($B$3:$B$98,"Main Member",$C$3:$C$98,Table3[[#This Row],[Main Member Link ID]])-COUNTIFS($B39:$B$98,"Main Member",$C39:$C$98,Table3[[#This Row],[Main Member Link ID]]),
IF(Table3[[#This Row],[Member Type]]="Beneficiary",COUNTIFS($B$3:$B$98,"Beneficiary",$C$3:$C$98,Table3[[#This Row],[Main Member Link ID]])-COUNTIFS($B39:$B$98,"Beneficiary",$C39:$C$98,Table3[[#This Row],[Main Member Link ID]]),0))))))</f>
        <v>0</v>
      </c>
      <c r="Q3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8" s="166">
        <f>IF(Table3[[#This Row],[Member Type]]="Child",Table3[[#This Row],[Rate per 10,000]]/10000*Table3[[#This Row],[Cover Amount]],0)</f>
        <v>0</v>
      </c>
      <c r="S38" s="165">
        <f>IF(Table3[[#This Row],[Member Type]]="Child",COUNTIFS(Table3[Each Child Premium],Table3[[#This Row],[Each Child Premium]],Table3[Main Member Link ID],Table3[[#This Row],[Main Member Link ID]]),0)</f>
        <v>0</v>
      </c>
      <c r="T38" s="165" t="str">
        <f>IF(Table3[[#This Row],[No. of Child with same Cover Amont under a policy]]=0,"",IF(Table3[[#This Row],[Each Child Premium]]&gt;=_xlfn.MAXIFS(Table3[Each Child Premium],Table3[Main Member Link ID],Table3[[#This Row],[Main Member Link ID]]),"Yes",""))</f>
        <v/>
      </c>
      <c r="U3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policy]]&gt;1,J38=_xlfn.MINIFS(Table3[Age],Table3[Member Type],"Child",Table3[Main Member Link ID],Table3[[#This Row],[Main Member Link ID]],Table3[No. of Child with same Cover Amont under a policy],Table3[[#This Row],[No. of Child with same Cover Amont under a policy]])),1,0)),0)</f>
        <v>0</v>
      </c>
    </row>
    <row r="39" spans="2:21" x14ac:dyDescent="0.3">
      <c r="B39" s="173">
        <f>Members!B42</f>
        <v>0</v>
      </c>
      <c r="C39" s="174">
        <f>Members!E42</f>
        <v>0</v>
      </c>
      <c r="D39" s="174">
        <f>Members!F42</f>
        <v>0</v>
      </c>
      <c r="E39" s="174">
        <f>Members!G42</f>
        <v>0</v>
      </c>
      <c r="F39" s="72">
        <f>Members!H42</f>
        <v>0</v>
      </c>
      <c r="G39" s="71">
        <f>Members!I42</f>
        <v>0</v>
      </c>
      <c r="H39" s="71" t="str">
        <f>Members!J42</f>
        <v/>
      </c>
      <c r="I39" s="72">
        <f>Members!K42</f>
        <v>0</v>
      </c>
      <c r="J39" s="73">
        <f t="shared" si="1"/>
        <v>1</v>
      </c>
      <c r="K39" s="74">
        <f>IFERROR(IF(OR(B39=0,Table3[[#This Row],[Age]]=0,Table3[[#This Row],[Member Type]]="Beneficiary"),0,
IF(B39="Main Member",VLOOKUP(J39,Rate_MM,5),
IF(B39="Spouse",VLOOKUP(J39,Rate_SP,5),
IF(B39="Extended",VLOOKUP(J39,Rate_EXT,5),
IF(B39="Parent",VLOOKUP(J39,Rate_PAR,5),
IF(B39="Child",VLOOKUP(J39,Rate_CH,5))))))),0)</f>
        <v>0</v>
      </c>
      <c r="L39" s="74">
        <f>IFERROR(IF(OR(B39=0,Table3[[#This Row],[Age]]=0,Table3[[#This Row],[Member Type]]="Beneficiary"),0,
IF(B39="Main Member",VLOOKUP(J39,Rate_MM,4),
IF(B39="Spouse",VLOOKUP(J39,Rate_SP,4),
IF(B39="Extended",VLOOKUP(J39,Rate_EXT,4),
IF(B39="Parent",VLOOKUP(J39,Rate_PAR,4),
IF(B39="Child",VLOOKUP(J39,Rate_CH,4))))))),0)</f>
        <v>0</v>
      </c>
      <c r="M39" s="75">
        <f>Members!N42</f>
        <v>0</v>
      </c>
      <c r="N3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3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39" s="165">
        <f>IF(Table3[[#This Row],[Member Type]]="Child",COUNTIFS($B$3:$B$98,"Child",$C$3:$C$98,Table3[[#This Row],[Main Member Link ID]])-COUNTIFS($B40:$B$98,"Child",$C40:$C$98,Table3[[#This Row],[Main Member Link ID]]),
IF(Table3[[#This Row],[Member Type]]="Extended",COUNTIFS($B$3:$B$98,"Extended",$C$3:$C$98,Table3[[#This Row],[Main Member Link ID]])-COUNTIFS($B40:$B$98,"Extended",$C40:$C$98,Table3[[#This Row],[Main Member Link ID]]),
IF(Table3[[#This Row],[Member Type]]="Parent",COUNTIFS($B$3:$B$98,"Parent",$C$3:$C$98,Table3[[#This Row],[Main Member Link ID]])-COUNTIFS($B40:$B$98,"Parent",$C40:$C$98,Table3[[#This Row],[Main Member Link ID]]),
IF(Table3[[#This Row],[Member Type]]="Spouse",COUNTIFS($B$3:$B$98,"Spouse",$C$3:$C$98,Table3[[#This Row],[Main Member Link ID]])-COUNTIFS($B40:$B$98,"Spouse",$C40:$C$98,Table3[[#This Row],[Main Member Link ID]]),
IF(Table3[[#This Row],[Member Type]]="Main Member",COUNTIFS($B$3:$B$98,"Main Member",$C$3:$C$98,Table3[[#This Row],[Main Member Link ID]])-COUNTIFS($B40:$B$98,"Main Member",$C40:$C$98,Table3[[#This Row],[Main Member Link ID]]),
IF(Table3[[#This Row],[Member Type]]="Beneficiary",COUNTIFS($B$3:$B$98,"Beneficiary",$C$3:$C$98,Table3[[#This Row],[Main Member Link ID]])-COUNTIFS($B40:$B$98,"Beneficiary",$C40:$C$98,Table3[[#This Row],[Main Member Link ID]]),0))))))</f>
        <v>0</v>
      </c>
      <c r="Q3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39" s="166">
        <f>IF(Table3[[#This Row],[Member Type]]="Child",Table3[[#This Row],[Rate per 10,000]]/10000*Table3[[#This Row],[Cover Amount]],0)</f>
        <v>0</v>
      </c>
      <c r="S39" s="165">
        <f>IF(Table3[[#This Row],[Member Type]]="Child",COUNTIFS(Table3[Each Child Premium],Table3[[#This Row],[Each Child Premium]],Table3[Main Member Link ID],Table3[[#This Row],[Main Member Link ID]]),0)</f>
        <v>0</v>
      </c>
      <c r="T39" s="165" t="str">
        <f>IF(Table3[[#This Row],[No. of Child with same Cover Amont under a policy]]=0,"",IF(Table3[[#This Row],[Each Child Premium]]&gt;=_xlfn.MAXIFS(Table3[Each Child Premium],Table3[Main Member Link ID],Table3[[#This Row],[Main Member Link ID]]),"Yes",""))</f>
        <v/>
      </c>
      <c r="U3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policy]]&gt;1,J39=_xlfn.MINIFS(Table3[Age],Table3[Member Type],"Child",Table3[Main Member Link ID],Table3[[#This Row],[Main Member Link ID]],Table3[No. of Child with same Cover Amont under a policy],Table3[[#This Row],[No. of Child with same Cover Amont under a policy]])),1,0)),0)</f>
        <v>0</v>
      </c>
    </row>
    <row r="40" spans="2:21" x14ac:dyDescent="0.3">
      <c r="B40" s="173">
        <f>Members!B43</f>
        <v>0</v>
      </c>
      <c r="C40" s="174">
        <f>Members!E43</f>
        <v>0</v>
      </c>
      <c r="D40" s="174">
        <f>Members!F43</f>
        <v>0</v>
      </c>
      <c r="E40" s="174">
        <f>Members!G43</f>
        <v>0</v>
      </c>
      <c r="F40" s="72">
        <f>Members!H43</f>
        <v>0</v>
      </c>
      <c r="G40" s="71">
        <f>Members!I43</f>
        <v>0</v>
      </c>
      <c r="H40" s="71" t="str">
        <f>Members!J43</f>
        <v/>
      </c>
      <c r="I40" s="72">
        <f>Members!K43</f>
        <v>0</v>
      </c>
      <c r="J40" s="73">
        <f t="shared" si="1"/>
        <v>1</v>
      </c>
      <c r="K40" s="74">
        <f>IFERROR(IF(OR(B40=0,Table3[[#This Row],[Age]]=0,Table3[[#This Row],[Member Type]]="Beneficiary"),0,
IF(B40="Main Member",VLOOKUP(J40,Rate_MM,5),
IF(B40="Spouse",VLOOKUP(J40,Rate_SP,5),
IF(B40="Extended",VLOOKUP(J40,Rate_EXT,5),
IF(B40="Parent",VLOOKUP(J40,Rate_PAR,5),
IF(B40="Child",VLOOKUP(J40,Rate_CH,5))))))),0)</f>
        <v>0</v>
      </c>
      <c r="L40" s="74">
        <f>IFERROR(IF(OR(B40=0,Table3[[#This Row],[Age]]=0,Table3[[#This Row],[Member Type]]="Beneficiary"),0,
IF(B40="Main Member",VLOOKUP(J40,Rate_MM,4),
IF(B40="Spouse",VLOOKUP(J40,Rate_SP,4),
IF(B40="Extended",VLOOKUP(J40,Rate_EXT,4),
IF(B40="Parent",VLOOKUP(J40,Rate_PAR,4),
IF(B40="Child",VLOOKUP(J40,Rate_CH,4))))))),0)</f>
        <v>0</v>
      </c>
      <c r="M40" s="75">
        <f>Members!N43</f>
        <v>0</v>
      </c>
      <c r="N4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0" s="165">
        <f>IF(Table3[[#This Row],[Member Type]]="Child",COUNTIFS($B$3:$B$98,"Child",$C$3:$C$98,Table3[[#This Row],[Main Member Link ID]])-COUNTIFS($B41:$B$98,"Child",$C41:$C$98,Table3[[#This Row],[Main Member Link ID]]),
IF(Table3[[#This Row],[Member Type]]="Extended",COUNTIFS($B$3:$B$98,"Extended",$C$3:$C$98,Table3[[#This Row],[Main Member Link ID]])-COUNTIFS($B41:$B$98,"Extended",$C41:$C$98,Table3[[#This Row],[Main Member Link ID]]),
IF(Table3[[#This Row],[Member Type]]="Parent",COUNTIFS($B$3:$B$98,"Parent",$C$3:$C$98,Table3[[#This Row],[Main Member Link ID]])-COUNTIFS($B41:$B$98,"Parent",$C41:$C$98,Table3[[#This Row],[Main Member Link ID]]),
IF(Table3[[#This Row],[Member Type]]="Spouse",COUNTIFS($B$3:$B$98,"Spouse",$C$3:$C$98,Table3[[#This Row],[Main Member Link ID]])-COUNTIFS($B41:$B$98,"Spouse",$C41:$C$98,Table3[[#This Row],[Main Member Link ID]]),
IF(Table3[[#This Row],[Member Type]]="Main Member",COUNTIFS($B$3:$B$98,"Main Member",$C$3:$C$98,Table3[[#This Row],[Main Member Link ID]])-COUNTIFS($B41:$B$98,"Main Member",$C41:$C$98,Table3[[#This Row],[Main Member Link ID]]),
IF(Table3[[#This Row],[Member Type]]="Beneficiary",COUNTIFS($B$3:$B$98,"Beneficiary",$C$3:$C$98,Table3[[#This Row],[Main Member Link ID]])-COUNTIFS($B41:$B$98,"Beneficiary",$C41:$C$98,Table3[[#This Row],[Main Member Link ID]]),0))))))</f>
        <v>0</v>
      </c>
      <c r="Q4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0" s="166">
        <f>IF(Table3[[#This Row],[Member Type]]="Child",Table3[[#This Row],[Rate per 10,000]]/10000*Table3[[#This Row],[Cover Amount]],0)</f>
        <v>0</v>
      </c>
      <c r="S40" s="165">
        <f>IF(Table3[[#This Row],[Member Type]]="Child",COUNTIFS(Table3[Each Child Premium],Table3[[#This Row],[Each Child Premium]],Table3[Main Member Link ID],Table3[[#This Row],[Main Member Link ID]]),0)</f>
        <v>0</v>
      </c>
      <c r="T40" s="165" t="str">
        <f>IF(Table3[[#This Row],[No. of Child with same Cover Amont under a policy]]=0,"",IF(Table3[[#This Row],[Each Child Premium]]&gt;=_xlfn.MAXIFS(Table3[Each Child Premium],Table3[Main Member Link ID],Table3[[#This Row],[Main Member Link ID]]),"Yes",""))</f>
        <v/>
      </c>
      <c r="U4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policy]]&gt;1,J40=_xlfn.MINIFS(Table3[Age],Table3[Member Type],"Child",Table3[Main Member Link ID],Table3[[#This Row],[Main Member Link ID]],Table3[No. of Child with same Cover Amont under a policy],Table3[[#This Row],[No. of Child with same Cover Amont under a policy]])),1,0)),0)</f>
        <v>0</v>
      </c>
    </row>
    <row r="41" spans="2:21" x14ac:dyDescent="0.3">
      <c r="B41" s="173">
        <f>Members!B44</f>
        <v>0</v>
      </c>
      <c r="C41" s="174">
        <f>Members!E44</f>
        <v>0</v>
      </c>
      <c r="D41" s="174">
        <f>Members!F44</f>
        <v>0</v>
      </c>
      <c r="E41" s="174">
        <f>Members!G44</f>
        <v>0</v>
      </c>
      <c r="F41" s="72">
        <f>Members!H44</f>
        <v>0</v>
      </c>
      <c r="G41" s="71">
        <f>Members!I44</f>
        <v>0</v>
      </c>
      <c r="H41" s="71" t="str">
        <f>Members!J44</f>
        <v/>
      </c>
      <c r="I41" s="72">
        <f>Members!K44</f>
        <v>0</v>
      </c>
      <c r="J41" s="73">
        <f t="shared" si="1"/>
        <v>1</v>
      </c>
      <c r="K41" s="74">
        <f>IFERROR(IF(OR(B41=0,Table3[[#This Row],[Age]]=0,Table3[[#This Row],[Member Type]]="Beneficiary"),0,
IF(B41="Main Member",VLOOKUP(J41,Rate_MM,5),
IF(B41="Spouse",VLOOKUP(J41,Rate_SP,5),
IF(B41="Extended",VLOOKUP(J41,Rate_EXT,5),
IF(B41="Parent",VLOOKUP(J41,Rate_PAR,5),
IF(B41="Child",VLOOKUP(J41,Rate_CH,5))))))),0)</f>
        <v>0</v>
      </c>
      <c r="L41" s="74">
        <f>IFERROR(IF(OR(B41=0,Table3[[#This Row],[Age]]=0,Table3[[#This Row],[Member Type]]="Beneficiary"),0,
IF(B41="Main Member",VLOOKUP(J41,Rate_MM,4),
IF(B41="Spouse",VLOOKUP(J41,Rate_SP,4),
IF(B41="Extended",VLOOKUP(J41,Rate_EXT,4),
IF(B41="Parent",VLOOKUP(J41,Rate_PAR,4),
IF(B41="Child",VLOOKUP(J41,Rate_CH,4))))))),0)</f>
        <v>0</v>
      </c>
      <c r="M41" s="75">
        <f>Members!N44</f>
        <v>0</v>
      </c>
      <c r="N4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1" s="165">
        <f>IF(Table3[[#This Row],[Member Type]]="Child",COUNTIFS($B$3:$B$98,"Child",$C$3:$C$98,Table3[[#This Row],[Main Member Link ID]])-COUNTIFS($B42:$B$98,"Child",$C42:$C$98,Table3[[#This Row],[Main Member Link ID]]),
IF(Table3[[#This Row],[Member Type]]="Extended",COUNTIFS($B$3:$B$98,"Extended",$C$3:$C$98,Table3[[#This Row],[Main Member Link ID]])-COUNTIFS($B42:$B$98,"Extended",$C42:$C$98,Table3[[#This Row],[Main Member Link ID]]),
IF(Table3[[#This Row],[Member Type]]="Parent",COUNTIFS($B$3:$B$98,"Parent",$C$3:$C$98,Table3[[#This Row],[Main Member Link ID]])-COUNTIFS($B42:$B$98,"Parent",$C42:$C$98,Table3[[#This Row],[Main Member Link ID]]),
IF(Table3[[#This Row],[Member Type]]="Spouse",COUNTIFS($B$3:$B$98,"Spouse",$C$3:$C$98,Table3[[#This Row],[Main Member Link ID]])-COUNTIFS($B42:$B$98,"Spouse",$C42:$C$98,Table3[[#This Row],[Main Member Link ID]]),
IF(Table3[[#This Row],[Member Type]]="Main Member",COUNTIFS($B$3:$B$98,"Main Member",$C$3:$C$98,Table3[[#This Row],[Main Member Link ID]])-COUNTIFS($B42:$B$98,"Main Member",$C42:$C$98,Table3[[#This Row],[Main Member Link ID]]),
IF(Table3[[#This Row],[Member Type]]="Beneficiary",COUNTIFS($B$3:$B$98,"Beneficiary",$C$3:$C$98,Table3[[#This Row],[Main Member Link ID]])-COUNTIFS($B42:$B$98,"Beneficiary",$C42:$C$98,Table3[[#This Row],[Main Member Link ID]]),0))))))</f>
        <v>0</v>
      </c>
      <c r="Q4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1" s="166">
        <f>IF(Table3[[#This Row],[Member Type]]="Child",Table3[[#This Row],[Rate per 10,000]]/10000*Table3[[#This Row],[Cover Amount]],0)</f>
        <v>0</v>
      </c>
      <c r="S41" s="165">
        <f>IF(Table3[[#This Row],[Member Type]]="Child",COUNTIFS(Table3[Each Child Premium],Table3[[#This Row],[Each Child Premium]],Table3[Main Member Link ID],Table3[[#This Row],[Main Member Link ID]]),0)</f>
        <v>0</v>
      </c>
      <c r="T41" s="165" t="str">
        <f>IF(Table3[[#This Row],[No. of Child with same Cover Amont under a policy]]=0,"",IF(Table3[[#This Row],[Each Child Premium]]&gt;=_xlfn.MAXIFS(Table3[Each Child Premium],Table3[Main Member Link ID],Table3[[#This Row],[Main Member Link ID]]),"Yes",""))</f>
        <v/>
      </c>
      <c r="U4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policy]]&gt;1,J41=_xlfn.MINIFS(Table3[Age],Table3[Member Type],"Child",Table3[Main Member Link ID],Table3[[#This Row],[Main Member Link ID]],Table3[No. of Child with same Cover Amont under a policy],Table3[[#This Row],[No. of Child with same Cover Amont under a policy]])),1,0)),0)</f>
        <v>0</v>
      </c>
    </row>
    <row r="42" spans="2:21" x14ac:dyDescent="0.3">
      <c r="B42" s="173">
        <f>Members!B45</f>
        <v>0</v>
      </c>
      <c r="C42" s="174">
        <f>Members!E45</f>
        <v>0</v>
      </c>
      <c r="D42" s="174">
        <f>Members!F45</f>
        <v>0</v>
      </c>
      <c r="E42" s="174">
        <f>Members!G45</f>
        <v>0</v>
      </c>
      <c r="F42" s="72">
        <f>Members!H45</f>
        <v>0</v>
      </c>
      <c r="G42" s="71">
        <f>Members!I45</f>
        <v>0</v>
      </c>
      <c r="H42" s="71" t="str">
        <f>Members!J45</f>
        <v/>
      </c>
      <c r="I42" s="72">
        <f>Members!K45</f>
        <v>0</v>
      </c>
      <c r="J42" s="73">
        <f t="shared" si="1"/>
        <v>1</v>
      </c>
      <c r="K42" s="74">
        <f>IFERROR(IF(OR(B42=0,Table3[[#This Row],[Age]]=0,Table3[[#This Row],[Member Type]]="Beneficiary"),0,
IF(B42="Main Member",VLOOKUP(J42,Rate_MM,5),
IF(B42="Spouse",VLOOKUP(J42,Rate_SP,5),
IF(B42="Extended",VLOOKUP(J42,Rate_EXT,5),
IF(B42="Parent",VLOOKUP(J42,Rate_PAR,5),
IF(B42="Child",VLOOKUP(J42,Rate_CH,5))))))),0)</f>
        <v>0</v>
      </c>
      <c r="L42" s="74">
        <f>IFERROR(IF(OR(B42=0,Table3[[#This Row],[Age]]=0,Table3[[#This Row],[Member Type]]="Beneficiary"),0,
IF(B42="Main Member",VLOOKUP(J42,Rate_MM,4),
IF(B42="Spouse",VLOOKUP(J42,Rate_SP,4),
IF(B42="Extended",VLOOKUP(J42,Rate_EXT,4),
IF(B42="Parent",VLOOKUP(J42,Rate_PAR,4),
IF(B42="Child",VLOOKUP(J42,Rate_CH,4))))))),0)</f>
        <v>0</v>
      </c>
      <c r="M42" s="75">
        <f>Members!N45</f>
        <v>0</v>
      </c>
      <c r="N4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2" s="165">
        <f>IF(Table3[[#This Row],[Member Type]]="Child",COUNTIFS($B$3:$B$98,"Child",$C$3:$C$98,Table3[[#This Row],[Main Member Link ID]])-COUNTIFS($B43:$B$98,"Child",$C43:$C$98,Table3[[#This Row],[Main Member Link ID]]),
IF(Table3[[#This Row],[Member Type]]="Extended",COUNTIFS($B$3:$B$98,"Extended",$C$3:$C$98,Table3[[#This Row],[Main Member Link ID]])-COUNTIFS($B43:$B$98,"Extended",$C43:$C$98,Table3[[#This Row],[Main Member Link ID]]),
IF(Table3[[#This Row],[Member Type]]="Parent",COUNTIFS($B$3:$B$98,"Parent",$C$3:$C$98,Table3[[#This Row],[Main Member Link ID]])-COUNTIFS($B43:$B$98,"Parent",$C43:$C$98,Table3[[#This Row],[Main Member Link ID]]),
IF(Table3[[#This Row],[Member Type]]="Spouse",COUNTIFS($B$3:$B$98,"Spouse",$C$3:$C$98,Table3[[#This Row],[Main Member Link ID]])-COUNTIFS($B43:$B$98,"Spouse",$C43:$C$98,Table3[[#This Row],[Main Member Link ID]]),
IF(Table3[[#This Row],[Member Type]]="Main Member",COUNTIFS($B$3:$B$98,"Main Member",$C$3:$C$98,Table3[[#This Row],[Main Member Link ID]])-COUNTIFS($B43:$B$98,"Main Member",$C43:$C$98,Table3[[#This Row],[Main Member Link ID]]),
IF(Table3[[#This Row],[Member Type]]="Beneficiary",COUNTIFS($B$3:$B$98,"Beneficiary",$C$3:$C$98,Table3[[#This Row],[Main Member Link ID]])-COUNTIFS($B43:$B$98,"Beneficiary",$C43:$C$98,Table3[[#This Row],[Main Member Link ID]]),0))))))</f>
        <v>0</v>
      </c>
      <c r="Q4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2" s="166">
        <f>IF(Table3[[#This Row],[Member Type]]="Child",Table3[[#This Row],[Rate per 10,000]]/10000*Table3[[#This Row],[Cover Amount]],0)</f>
        <v>0</v>
      </c>
      <c r="S42" s="165">
        <f>IF(Table3[[#This Row],[Member Type]]="Child",COUNTIFS(Table3[Each Child Premium],Table3[[#This Row],[Each Child Premium]],Table3[Main Member Link ID],Table3[[#This Row],[Main Member Link ID]]),0)</f>
        <v>0</v>
      </c>
      <c r="T42" s="165" t="str">
        <f>IF(Table3[[#This Row],[No. of Child with same Cover Amont under a policy]]=0,"",IF(Table3[[#This Row],[Each Child Premium]]&gt;=_xlfn.MAXIFS(Table3[Each Child Premium],Table3[Main Member Link ID],Table3[[#This Row],[Main Member Link ID]]),"Yes",""))</f>
        <v/>
      </c>
      <c r="U4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policy]]&gt;1,J42=_xlfn.MINIFS(Table3[Age],Table3[Member Type],"Child",Table3[Main Member Link ID],Table3[[#This Row],[Main Member Link ID]],Table3[No. of Child with same Cover Amont under a policy],Table3[[#This Row],[No. of Child with same Cover Amont under a policy]])),1,0)),0)</f>
        <v>0</v>
      </c>
    </row>
    <row r="43" spans="2:21" x14ac:dyDescent="0.3">
      <c r="B43" s="173">
        <f>Members!B46</f>
        <v>0</v>
      </c>
      <c r="C43" s="174">
        <f>Members!E46</f>
        <v>0</v>
      </c>
      <c r="D43" s="174">
        <f>Members!F46</f>
        <v>0</v>
      </c>
      <c r="E43" s="174">
        <f>Members!G46</f>
        <v>0</v>
      </c>
      <c r="F43" s="72">
        <f>Members!H46</f>
        <v>0</v>
      </c>
      <c r="G43" s="71">
        <f>Members!I46</f>
        <v>0</v>
      </c>
      <c r="H43" s="71" t="str">
        <f>Members!J46</f>
        <v/>
      </c>
      <c r="I43" s="72">
        <f>Members!K46</f>
        <v>0</v>
      </c>
      <c r="J43" s="73">
        <f t="shared" si="1"/>
        <v>1</v>
      </c>
      <c r="K43" s="74">
        <f>IFERROR(IF(OR(B43=0,Table3[[#This Row],[Age]]=0,Table3[[#This Row],[Member Type]]="Beneficiary"),0,
IF(B43="Main Member",VLOOKUP(J43,Rate_MM,5),
IF(B43="Spouse",VLOOKUP(J43,Rate_SP,5),
IF(B43="Extended",VLOOKUP(J43,Rate_EXT,5),
IF(B43="Parent",VLOOKUP(J43,Rate_PAR,5),
IF(B43="Child",VLOOKUP(J43,Rate_CH,5))))))),0)</f>
        <v>0</v>
      </c>
      <c r="L43" s="74">
        <f>IFERROR(IF(OR(B43=0,Table3[[#This Row],[Age]]=0,Table3[[#This Row],[Member Type]]="Beneficiary"),0,
IF(B43="Main Member",VLOOKUP(J43,Rate_MM,4),
IF(B43="Spouse",VLOOKUP(J43,Rate_SP,4),
IF(B43="Extended",VLOOKUP(J43,Rate_EXT,4),
IF(B43="Parent",VLOOKUP(J43,Rate_PAR,4),
IF(B43="Child",VLOOKUP(J43,Rate_CH,4))))))),0)</f>
        <v>0</v>
      </c>
      <c r="M43" s="75">
        <f>Members!N46</f>
        <v>0</v>
      </c>
      <c r="N4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3" s="165">
        <f>IF(Table3[[#This Row],[Member Type]]="Child",COUNTIFS($B$3:$B$98,"Child",$C$3:$C$98,Table3[[#This Row],[Main Member Link ID]])-COUNTIFS($B44:$B$98,"Child",$C44:$C$98,Table3[[#This Row],[Main Member Link ID]]),
IF(Table3[[#This Row],[Member Type]]="Extended",COUNTIFS($B$3:$B$98,"Extended",$C$3:$C$98,Table3[[#This Row],[Main Member Link ID]])-COUNTIFS($B44:$B$98,"Extended",$C44:$C$98,Table3[[#This Row],[Main Member Link ID]]),
IF(Table3[[#This Row],[Member Type]]="Parent",COUNTIFS($B$3:$B$98,"Parent",$C$3:$C$98,Table3[[#This Row],[Main Member Link ID]])-COUNTIFS($B44:$B$98,"Parent",$C44:$C$98,Table3[[#This Row],[Main Member Link ID]]),
IF(Table3[[#This Row],[Member Type]]="Spouse",COUNTIFS($B$3:$B$98,"Spouse",$C$3:$C$98,Table3[[#This Row],[Main Member Link ID]])-COUNTIFS($B44:$B$98,"Spouse",$C44:$C$98,Table3[[#This Row],[Main Member Link ID]]),
IF(Table3[[#This Row],[Member Type]]="Main Member",COUNTIFS($B$3:$B$98,"Main Member",$C$3:$C$98,Table3[[#This Row],[Main Member Link ID]])-COUNTIFS($B44:$B$98,"Main Member",$C44:$C$98,Table3[[#This Row],[Main Member Link ID]]),
IF(Table3[[#This Row],[Member Type]]="Beneficiary",COUNTIFS($B$3:$B$98,"Beneficiary",$C$3:$C$98,Table3[[#This Row],[Main Member Link ID]])-COUNTIFS($B44:$B$98,"Beneficiary",$C44:$C$98,Table3[[#This Row],[Main Member Link ID]]),0))))))</f>
        <v>0</v>
      </c>
      <c r="Q4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3" s="166">
        <f>IF(Table3[[#This Row],[Member Type]]="Child",Table3[[#This Row],[Rate per 10,000]]/10000*Table3[[#This Row],[Cover Amount]],0)</f>
        <v>0</v>
      </c>
      <c r="S43" s="165">
        <f>IF(Table3[[#This Row],[Member Type]]="Child",COUNTIFS(Table3[Each Child Premium],Table3[[#This Row],[Each Child Premium]],Table3[Main Member Link ID],Table3[[#This Row],[Main Member Link ID]]),0)</f>
        <v>0</v>
      </c>
      <c r="T43" s="165" t="str">
        <f>IF(Table3[[#This Row],[No. of Child with same Cover Amont under a policy]]=0,"",IF(Table3[[#This Row],[Each Child Premium]]&gt;=_xlfn.MAXIFS(Table3[Each Child Premium],Table3[Main Member Link ID],Table3[[#This Row],[Main Member Link ID]]),"Yes",""))</f>
        <v/>
      </c>
      <c r="U4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policy]]&gt;1,J43=_xlfn.MINIFS(Table3[Age],Table3[Member Type],"Child",Table3[Main Member Link ID],Table3[[#This Row],[Main Member Link ID]],Table3[No. of Child with same Cover Amont under a policy],Table3[[#This Row],[No. of Child with same Cover Amont under a policy]])),1,0)),0)</f>
        <v>0</v>
      </c>
    </row>
    <row r="44" spans="2:21" x14ac:dyDescent="0.3">
      <c r="B44" s="173">
        <f>Members!B47</f>
        <v>0</v>
      </c>
      <c r="C44" s="174">
        <f>Members!E47</f>
        <v>0</v>
      </c>
      <c r="D44" s="174">
        <f>Members!F47</f>
        <v>0</v>
      </c>
      <c r="E44" s="174">
        <f>Members!G47</f>
        <v>0</v>
      </c>
      <c r="F44" s="72">
        <f>Members!H47</f>
        <v>0</v>
      </c>
      <c r="G44" s="71">
        <f>Members!I47</f>
        <v>0</v>
      </c>
      <c r="H44" s="71" t="str">
        <f>Members!J47</f>
        <v/>
      </c>
      <c r="I44" s="72">
        <f>Members!K47</f>
        <v>0</v>
      </c>
      <c r="J44" s="73">
        <f t="shared" si="1"/>
        <v>1</v>
      </c>
      <c r="K44" s="74">
        <f>IFERROR(IF(OR(B44=0,Table3[[#This Row],[Age]]=0,Table3[[#This Row],[Member Type]]="Beneficiary"),0,
IF(B44="Main Member",VLOOKUP(J44,Rate_MM,5),
IF(B44="Spouse",VLOOKUP(J44,Rate_SP,5),
IF(B44="Extended",VLOOKUP(J44,Rate_EXT,5),
IF(B44="Parent",VLOOKUP(J44,Rate_PAR,5),
IF(B44="Child",VLOOKUP(J44,Rate_CH,5))))))),0)</f>
        <v>0</v>
      </c>
      <c r="L44" s="74">
        <f>IFERROR(IF(OR(B44=0,Table3[[#This Row],[Age]]=0,Table3[[#This Row],[Member Type]]="Beneficiary"),0,
IF(B44="Main Member",VLOOKUP(J44,Rate_MM,4),
IF(B44="Spouse",VLOOKUP(J44,Rate_SP,4),
IF(B44="Extended",VLOOKUP(J44,Rate_EXT,4),
IF(B44="Parent",VLOOKUP(J44,Rate_PAR,4),
IF(B44="Child",VLOOKUP(J44,Rate_CH,4))))))),0)</f>
        <v>0</v>
      </c>
      <c r="M44" s="75">
        <f>Members!N47</f>
        <v>0</v>
      </c>
      <c r="N4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4" s="165">
        <f>IF(Table3[[#This Row],[Member Type]]="Child",COUNTIFS($B$3:$B$98,"Child",$C$3:$C$98,Table3[[#This Row],[Main Member Link ID]])-COUNTIFS($B45:$B$98,"Child",$C45:$C$98,Table3[[#This Row],[Main Member Link ID]]),
IF(Table3[[#This Row],[Member Type]]="Extended",COUNTIFS($B$3:$B$98,"Extended",$C$3:$C$98,Table3[[#This Row],[Main Member Link ID]])-COUNTIFS($B45:$B$98,"Extended",$C45:$C$98,Table3[[#This Row],[Main Member Link ID]]),
IF(Table3[[#This Row],[Member Type]]="Parent",COUNTIFS($B$3:$B$98,"Parent",$C$3:$C$98,Table3[[#This Row],[Main Member Link ID]])-COUNTIFS($B45:$B$98,"Parent",$C45:$C$98,Table3[[#This Row],[Main Member Link ID]]),
IF(Table3[[#This Row],[Member Type]]="Spouse",COUNTIFS($B$3:$B$98,"Spouse",$C$3:$C$98,Table3[[#This Row],[Main Member Link ID]])-COUNTIFS($B45:$B$98,"Spouse",$C45:$C$98,Table3[[#This Row],[Main Member Link ID]]),
IF(Table3[[#This Row],[Member Type]]="Main Member",COUNTIFS($B$3:$B$98,"Main Member",$C$3:$C$98,Table3[[#This Row],[Main Member Link ID]])-COUNTIFS($B45:$B$98,"Main Member",$C45:$C$98,Table3[[#This Row],[Main Member Link ID]]),
IF(Table3[[#This Row],[Member Type]]="Beneficiary",COUNTIFS($B$3:$B$98,"Beneficiary",$C$3:$C$98,Table3[[#This Row],[Main Member Link ID]])-COUNTIFS($B45:$B$98,"Beneficiary",$C45:$C$98,Table3[[#This Row],[Main Member Link ID]]),0))))))</f>
        <v>0</v>
      </c>
      <c r="Q4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4" s="166">
        <f>IF(Table3[[#This Row],[Member Type]]="Child",Table3[[#This Row],[Rate per 10,000]]/10000*Table3[[#This Row],[Cover Amount]],0)</f>
        <v>0</v>
      </c>
      <c r="S44" s="165">
        <f>IF(Table3[[#This Row],[Member Type]]="Child",COUNTIFS(Table3[Each Child Premium],Table3[[#This Row],[Each Child Premium]],Table3[Main Member Link ID],Table3[[#This Row],[Main Member Link ID]]),0)</f>
        <v>0</v>
      </c>
      <c r="T44" s="165" t="str">
        <f>IF(Table3[[#This Row],[No. of Child with same Cover Amont under a policy]]=0,"",IF(Table3[[#This Row],[Each Child Premium]]&gt;=_xlfn.MAXIFS(Table3[Each Child Premium],Table3[Main Member Link ID],Table3[[#This Row],[Main Member Link ID]]),"Yes",""))</f>
        <v/>
      </c>
      <c r="U4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policy]]&gt;1,J44=_xlfn.MINIFS(Table3[Age],Table3[Member Type],"Child",Table3[Main Member Link ID],Table3[[#This Row],[Main Member Link ID]],Table3[No. of Child with same Cover Amont under a policy],Table3[[#This Row],[No. of Child with same Cover Amont under a policy]])),1,0)),0)</f>
        <v>0</v>
      </c>
    </row>
    <row r="45" spans="2:21" x14ac:dyDescent="0.3">
      <c r="B45" s="173">
        <f>Members!B48</f>
        <v>0</v>
      </c>
      <c r="C45" s="174">
        <f>Members!E48</f>
        <v>0</v>
      </c>
      <c r="D45" s="174">
        <f>Members!F48</f>
        <v>0</v>
      </c>
      <c r="E45" s="174">
        <f>Members!G48</f>
        <v>0</v>
      </c>
      <c r="F45" s="72">
        <f>Members!H48</f>
        <v>0</v>
      </c>
      <c r="G45" s="71">
        <f>Members!I48</f>
        <v>0</v>
      </c>
      <c r="H45" s="71" t="str">
        <f>Members!J48</f>
        <v/>
      </c>
      <c r="I45" s="72">
        <f>Members!K48</f>
        <v>0</v>
      </c>
      <c r="J45" s="73">
        <f t="shared" si="1"/>
        <v>1</v>
      </c>
      <c r="K45" s="74">
        <f>IFERROR(IF(OR(B45=0,Table3[[#This Row],[Age]]=0,Table3[[#This Row],[Member Type]]="Beneficiary"),0,
IF(B45="Main Member",VLOOKUP(J45,Rate_MM,5),
IF(B45="Spouse",VLOOKUP(J45,Rate_SP,5),
IF(B45="Extended",VLOOKUP(J45,Rate_EXT,5),
IF(B45="Parent",VLOOKUP(J45,Rate_PAR,5),
IF(B45="Child",VLOOKUP(J45,Rate_CH,5))))))),0)</f>
        <v>0</v>
      </c>
      <c r="L45" s="74">
        <f>IFERROR(IF(OR(B45=0,Table3[[#This Row],[Age]]=0,Table3[[#This Row],[Member Type]]="Beneficiary"),0,
IF(B45="Main Member",VLOOKUP(J45,Rate_MM,4),
IF(B45="Spouse",VLOOKUP(J45,Rate_SP,4),
IF(B45="Extended",VLOOKUP(J45,Rate_EXT,4),
IF(B45="Parent",VLOOKUP(J45,Rate_PAR,4),
IF(B45="Child",VLOOKUP(J45,Rate_CH,4))))))),0)</f>
        <v>0</v>
      </c>
      <c r="M45" s="75">
        <f>Members!N48</f>
        <v>0</v>
      </c>
      <c r="N4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5" s="165">
        <f>IF(Table3[[#This Row],[Member Type]]="Child",COUNTIFS($B$3:$B$98,"Child",$C$3:$C$98,Table3[[#This Row],[Main Member Link ID]])-COUNTIFS($B46:$B$98,"Child",$C46:$C$98,Table3[[#This Row],[Main Member Link ID]]),
IF(Table3[[#This Row],[Member Type]]="Extended",COUNTIFS($B$3:$B$98,"Extended",$C$3:$C$98,Table3[[#This Row],[Main Member Link ID]])-COUNTIFS($B46:$B$98,"Extended",$C46:$C$98,Table3[[#This Row],[Main Member Link ID]]),
IF(Table3[[#This Row],[Member Type]]="Parent",COUNTIFS($B$3:$B$98,"Parent",$C$3:$C$98,Table3[[#This Row],[Main Member Link ID]])-COUNTIFS($B46:$B$98,"Parent",$C46:$C$98,Table3[[#This Row],[Main Member Link ID]]),
IF(Table3[[#This Row],[Member Type]]="Spouse",COUNTIFS($B$3:$B$98,"Spouse",$C$3:$C$98,Table3[[#This Row],[Main Member Link ID]])-COUNTIFS($B46:$B$98,"Spouse",$C46:$C$98,Table3[[#This Row],[Main Member Link ID]]),
IF(Table3[[#This Row],[Member Type]]="Main Member",COUNTIFS($B$3:$B$98,"Main Member",$C$3:$C$98,Table3[[#This Row],[Main Member Link ID]])-COUNTIFS($B46:$B$98,"Main Member",$C46:$C$98,Table3[[#This Row],[Main Member Link ID]]),
IF(Table3[[#This Row],[Member Type]]="Beneficiary",COUNTIFS($B$3:$B$98,"Beneficiary",$C$3:$C$98,Table3[[#This Row],[Main Member Link ID]])-COUNTIFS($B46:$B$98,"Beneficiary",$C46:$C$98,Table3[[#This Row],[Main Member Link ID]]),0))))))</f>
        <v>0</v>
      </c>
      <c r="Q4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5" s="166">
        <f>IF(Table3[[#This Row],[Member Type]]="Child",Table3[[#This Row],[Rate per 10,000]]/10000*Table3[[#This Row],[Cover Amount]],0)</f>
        <v>0</v>
      </c>
      <c r="S45" s="165">
        <f>IF(Table3[[#This Row],[Member Type]]="Child",COUNTIFS(Table3[Each Child Premium],Table3[[#This Row],[Each Child Premium]],Table3[Main Member Link ID],Table3[[#This Row],[Main Member Link ID]]),0)</f>
        <v>0</v>
      </c>
      <c r="T45" s="165" t="str">
        <f>IF(Table3[[#This Row],[No. of Child with same Cover Amont under a policy]]=0,"",IF(Table3[[#This Row],[Each Child Premium]]&gt;=_xlfn.MAXIFS(Table3[Each Child Premium],Table3[Main Member Link ID],Table3[[#This Row],[Main Member Link ID]]),"Yes",""))</f>
        <v/>
      </c>
      <c r="U4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policy]]&gt;1,J45=_xlfn.MINIFS(Table3[Age],Table3[Member Type],"Child",Table3[Main Member Link ID],Table3[[#This Row],[Main Member Link ID]],Table3[No. of Child with same Cover Amont under a policy],Table3[[#This Row],[No. of Child with same Cover Amont under a policy]])),1,0)),0)</f>
        <v>0</v>
      </c>
    </row>
    <row r="46" spans="2:21" x14ac:dyDescent="0.3">
      <c r="B46" s="173">
        <f>Members!B49</f>
        <v>0</v>
      </c>
      <c r="C46" s="174">
        <f>Members!E49</f>
        <v>0</v>
      </c>
      <c r="D46" s="174">
        <f>Members!F49</f>
        <v>0</v>
      </c>
      <c r="E46" s="174">
        <f>Members!G49</f>
        <v>0</v>
      </c>
      <c r="F46" s="72">
        <f>Members!H49</f>
        <v>0</v>
      </c>
      <c r="G46" s="71">
        <f>Members!I49</f>
        <v>0</v>
      </c>
      <c r="H46" s="71" t="str">
        <f>Members!J49</f>
        <v/>
      </c>
      <c r="I46" s="72">
        <f>Members!K49</f>
        <v>0</v>
      </c>
      <c r="J46" s="73">
        <f t="shared" si="1"/>
        <v>1</v>
      </c>
      <c r="K46" s="74">
        <f>IFERROR(IF(OR(B46=0,Table3[[#This Row],[Age]]=0,Table3[[#This Row],[Member Type]]="Beneficiary"),0,
IF(B46="Main Member",VLOOKUP(J46,Rate_MM,5),
IF(B46="Spouse",VLOOKUP(J46,Rate_SP,5),
IF(B46="Extended",VLOOKUP(J46,Rate_EXT,5),
IF(B46="Parent",VLOOKUP(J46,Rate_PAR,5),
IF(B46="Child",VLOOKUP(J46,Rate_CH,5))))))),0)</f>
        <v>0</v>
      </c>
      <c r="L46" s="74">
        <f>IFERROR(IF(OR(B46=0,Table3[[#This Row],[Age]]=0,Table3[[#This Row],[Member Type]]="Beneficiary"),0,
IF(B46="Main Member",VLOOKUP(J46,Rate_MM,4),
IF(B46="Spouse",VLOOKUP(J46,Rate_SP,4),
IF(B46="Extended",VLOOKUP(J46,Rate_EXT,4),
IF(B46="Parent",VLOOKUP(J46,Rate_PAR,4),
IF(B46="Child",VLOOKUP(J46,Rate_CH,4))))))),0)</f>
        <v>0</v>
      </c>
      <c r="M46" s="75">
        <f>Members!N49</f>
        <v>0</v>
      </c>
      <c r="N4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6" s="165">
        <f>IF(Table3[[#This Row],[Member Type]]="Child",COUNTIFS($B$3:$B$98,"Child",$C$3:$C$98,Table3[[#This Row],[Main Member Link ID]])-COUNTIFS($B47:$B$98,"Child",$C47:$C$98,Table3[[#This Row],[Main Member Link ID]]),
IF(Table3[[#This Row],[Member Type]]="Extended",COUNTIFS($B$3:$B$98,"Extended",$C$3:$C$98,Table3[[#This Row],[Main Member Link ID]])-COUNTIFS($B47:$B$98,"Extended",$C47:$C$98,Table3[[#This Row],[Main Member Link ID]]),
IF(Table3[[#This Row],[Member Type]]="Parent",COUNTIFS($B$3:$B$98,"Parent",$C$3:$C$98,Table3[[#This Row],[Main Member Link ID]])-COUNTIFS($B47:$B$98,"Parent",$C47:$C$98,Table3[[#This Row],[Main Member Link ID]]),
IF(Table3[[#This Row],[Member Type]]="Spouse",COUNTIFS($B$3:$B$98,"Spouse",$C$3:$C$98,Table3[[#This Row],[Main Member Link ID]])-COUNTIFS($B47:$B$98,"Spouse",$C47:$C$98,Table3[[#This Row],[Main Member Link ID]]),
IF(Table3[[#This Row],[Member Type]]="Main Member",COUNTIFS($B$3:$B$98,"Main Member",$C$3:$C$98,Table3[[#This Row],[Main Member Link ID]])-COUNTIFS($B47:$B$98,"Main Member",$C47:$C$98,Table3[[#This Row],[Main Member Link ID]]),
IF(Table3[[#This Row],[Member Type]]="Beneficiary",COUNTIFS($B$3:$B$98,"Beneficiary",$C$3:$C$98,Table3[[#This Row],[Main Member Link ID]])-COUNTIFS($B47:$B$98,"Beneficiary",$C47:$C$98,Table3[[#This Row],[Main Member Link ID]]),0))))))</f>
        <v>0</v>
      </c>
      <c r="Q4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6" s="166">
        <f>IF(Table3[[#This Row],[Member Type]]="Child",Table3[[#This Row],[Rate per 10,000]]/10000*Table3[[#This Row],[Cover Amount]],0)</f>
        <v>0</v>
      </c>
      <c r="S46" s="165">
        <f>IF(Table3[[#This Row],[Member Type]]="Child",COUNTIFS(Table3[Each Child Premium],Table3[[#This Row],[Each Child Premium]],Table3[Main Member Link ID],Table3[[#This Row],[Main Member Link ID]]),0)</f>
        <v>0</v>
      </c>
      <c r="T46" s="165" t="str">
        <f>IF(Table3[[#This Row],[No. of Child with same Cover Amont under a policy]]=0,"",IF(Table3[[#This Row],[Each Child Premium]]&gt;=_xlfn.MAXIFS(Table3[Each Child Premium],Table3[Main Member Link ID],Table3[[#This Row],[Main Member Link ID]]),"Yes",""))</f>
        <v/>
      </c>
      <c r="U4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policy]]&gt;1,J46=_xlfn.MINIFS(Table3[Age],Table3[Member Type],"Child",Table3[Main Member Link ID],Table3[[#This Row],[Main Member Link ID]],Table3[No. of Child with same Cover Amont under a policy],Table3[[#This Row],[No. of Child with same Cover Amont under a policy]])),1,0)),0)</f>
        <v>0</v>
      </c>
    </row>
    <row r="47" spans="2:21" x14ac:dyDescent="0.3">
      <c r="B47" s="173">
        <f>Members!B50</f>
        <v>0</v>
      </c>
      <c r="C47" s="174">
        <f>Members!E50</f>
        <v>0</v>
      </c>
      <c r="D47" s="174">
        <f>Members!F50</f>
        <v>0</v>
      </c>
      <c r="E47" s="174">
        <f>Members!G50</f>
        <v>0</v>
      </c>
      <c r="F47" s="72">
        <f>Members!H50</f>
        <v>0</v>
      </c>
      <c r="G47" s="71">
        <f>Members!I50</f>
        <v>0</v>
      </c>
      <c r="H47" s="71" t="str">
        <f>Members!J50</f>
        <v/>
      </c>
      <c r="I47" s="72">
        <f>Members!K50</f>
        <v>0</v>
      </c>
      <c r="J47" s="73">
        <f t="shared" si="1"/>
        <v>1</v>
      </c>
      <c r="K47" s="74">
        <f>IFERROR(IF(OR(B47=0,Table3[[#This Row],[Age]]=0,Table3[[#This Row],[Member Type]]="Beneficiary"),0,
IF(B47="Main Member",VLOOKUP(J47,Rate_MM,5),
IF(B47="Spouse",VLOOKUP(J47,Rate_SP,5),
IF(B47="Extended",VLOOKUP(J47,Rate_EXT,5),
IF(B47="Parent",VLOOKUP(J47,Rate_PAR,5),
IF(B47="Child",VLOOKUP(J47,Rate_CH,5))))))),0)</f>
        <v>0</v>
      </c>
      <c r="L47" s="74">
        <f>IFERROR(IF(OR(B47=0,Table3[[#This Row],[Age]]=0,Table3[[#This Row],[Member Type]]="Beneficiary"),0,
IF(B47="Main Member",VLOOKUP(J47,Rate_MM,4),
IF(B47="Spouse",VLOOKUP(J47,Rate_SP,4),
IF(B47="Extended",VLOOKUP(J47,Rate_EXT,4),
IF(B47="Parent",VLOOKUP(J47,Rate_PAR,4),
IF(B47="Child",VLOOKUP(J47,Rate_CH,4))))))),0)</f>
        <v>0</v>
      </c>
      <c r="M47" s="75">
        <f>Members!N50</f>
        <v>0</v>
      </c>
      <c r="N4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7" s="165">
        <f>IF(Table3[[#This Row],[Member Type]]="Child",COUNTIFS($B$3:$B$98,"Child",$C$3:$C$98,Table3[[#This Row],[Main Member Link ID]])-COUNTIFS($B48:$B$98,"Child",$C48:$C$98,Table3[[#This Row],[Main Member Link ID]]),
IF(Table3[[#This Row],[Member Type]]="Extended",COUNTIFS($B$3:$B$98,"Extended",$C$3:$C$98,Table3[[#This Row],[Main Member Link ID]])-COUNTIFS($B48:$B$98,"Extended",$C48:$C$98,Table3[[#This Row],[Main Member Link ID]]),
IF(Table3[[#This Row],[Member Type]]="Parent",COUNTIFS($B$3:$B$98,"Parent",$C$3:$C$98,Table3[[#This Row],[Main Member Link ID]])-COUNTIFS($B48:$B$98,"Parent",$C48:$C$98,Table3[[#This Row],[Main Member Link ID]]),
IF(Table3[[#This Row],[Member Type]]="Spouse",COUNTIFS($B$3:$B$98,"Spouse",$C$3:$C$98,Table3[[#This Row],[Main Member Link ID]])-COUNTIFS($B48:$B$98,"Spouse",$C48:$C$98,Table3[[#This Row],[Main Member Link ID]]),
IF(Table3[[#This Row],[Member Type]]="Main Member",COUNTIFS($B$3:$B$98,"Main Member",$C$3:$C$98,Table3[[#This Row],[Main Member Link ID]])-COUNTIFS($B48:$B$98,"Main Member",$C48:$C$98,Table3[[#This Row],[Main Member Link ID]]),
IF(Table3[[#This Row],[Member Type]]="Beneficiary",COUNTIFS($B$3:$B$98,"Beneficiary",$C$3:$C$98,Table3[[#This Row],[Main Member Link ID]])-COUNTIFS($B48:$B$98,"Beneficiary",$C48:$C$98,Table3[[#This Row],[Main Member Link ID]]),0))))))</f>
        <v>0</v>
      </c>
      <c r="Q4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7" s="166">
        <f>IF(Table3[[#This Row],[Member Type]]="Child",Table3[[#This Row],[Rate per 10,000]]/10000*Table3[[#This Row],[Cover Amount]],0)</f>
        <v>0</v>
      </c>
      <c r="S47" s="165">
        <f>IF(Table3[[#This Row],[Member Type]]="Child",COUNTIFS(Table3[Each Child Premium],Table3[[#This Row],[Each Child Premium]],Table3[Main Member Link ID],Table3[[#This Row],[Main Member Link ID]]),0)</f>
        <v>0</v>
      </c>
      <c r="T47" s="165" t="str">
        <f>IF(Table3[[#This Row],[No. of Child with same Cover Amont under a policy]]=0,"",IF(Table3[[#This Row],[Each Child Premium]]&gt;=_xlfn.MAXIFS(Table3[Each Child Premium],Table3[Main Member Link ID],Table3[[#This Row],[Main Member Link ID]]),"Yes",""))</f>
        <v/>
      </c>
      <c r="U4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policy]]&gt;1,J47=_xlfn.MINIFS(Table3[Age],Table3[Member Type],"Child",Table3[Main Member Link ID],Table3[[#This Row],[Main Member Link ID]],Table3[No. of Child with same Cover Amont under a policy],Table3[[#This Row],[No. of Child with same Cover Amont under a policy]])),1,0)),0)</f>
        <v>0</v>
      </c>
    </row>
    <row r="48" spans="2:21" x14ac:dyDescent="0.3">
      <c r="B48" s="173">
        <f>Members!B51</f>
        <v>0</v>
      </c>
      <c r="C48" s="174">
        <f>Members!E51</f>
        <v>0</v>
      </c>
      <c r="D48" s="174">
        <f>Members!F51</f>
        <v>0</v>
      </c>
      <c r="E48" s="174">
        <f>Members!G51</f>
        <v>0</v>
      </c>
      <c r="F48" s="72">
        <f>Members!H51</f>
        <v>0</v>
      </c>
      <c r="G48" s="71">
        <f>Members!I51</f>
        <v>0</v>
      </c>
      <c r="H48" s="71" t="str">
        <f>Members!J51</f>
        <v/>
      </c>
      <c r="I48" s="72">
        <f>Members!K51</f>
        <v>0</v>
      </c>
      <c r="J48" s="73">
        <f t="shared" si="1"/>
        <v>1</v>
      </c>
      <c r="K48" s="74">
        <f>IFERROR(IF(OR(B48=0,Table3[[#This Row],[Age]]=0,Table3[[#This Row],[Member Type]]="Beneficiary"),0,
IF(B48="Main Member",VLOOKUP(J48,Rate_MM,5),
IF(B48="Spouse",VLOOKUP(J48,Rate_SP,5),
IF(B48="Extended",VLOOKUP(J48,Rate_EXT,5),
IF(B48="Parent",VLOOKUP(J48,Rate_PAR,5),
IF(B48="Child",VLOOKUP(J48,Rate_CH,5))))))),0)</f>
        <v>0</v>
      </c>
      <c r="L48" s="74">
        <f>IFERROR(IF(OR(B48=0,Table3[[#This Row],[Age]]=0,Table3[[#This Row],[Member Type]]="Beneficiary"),0,
IF(B48="Main Member",VLOOKUP(J48,Rate_MM,4),
IF(B48="Spouse",VLOOKUP(J48,Rate_SP,4),
IF(B48="Extended",VLOOKUP(J48,Rate_EXT,4),
IF(B48="Parent",VLOOKUP(J48,Rate_PAR,4),
IF(B48="Child",VLOOKUP(J48,Rate_CH,4))))))),0)</f>
        <v>0</v>
      </c>
      <c r="M48" s="75">
        <f>Members!N51</f>
        <v>0</v>
      </c>
      <c r="N4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8" s="165">
        <f>IF(Table3[[#This Row],[Member Type]]="Child",COUNTIFS($B$3:$B$98,"Child",$C$3:$C$98,Table3[[#This Row],[Main Member Link ID]])-COUNTIFS($B49:$B$98,"Child",$C49:$C$98,Table3[[#This Row],[Main Member Link ID]]),
IF(Table3[[#This Row],[Member Type]]="Extended",COUNTIFS($B$3:$B$98,"Extended",$C$3:$C$98,Table3[[#This Row],[Main Member Link ID]])-COUNTIFS($B49:$B$98,"Extended",$C49:$C$98,Table3[[#This Row],[Main Member Link ID]]),
IF(Table3[[#This Row],[Member Type]]="Parent",COUNTIFS($B$3:$B$98,"Parent",$C$3:$C$98,Table3[[#This Row],[Main Member Link ID]])-COUNTIFS($B49:$B$98,"Parent",$C49:$C$98,Table3[[#This Row],[Main Member Link ID]]),
IF(Table3[[#This Row],[Member Type]]="Spouse",COUNTIFS($B$3:$B$98,"Spouse",$C$3:$C$98,Table3[[#This Row],[Main Member Link ID]])-COUNTIFS($B49:$B$98,"Spouse",$C49:$C$98,Table3[[#This Row],[Main Member Link ID]]),
IF(Table3[[#This Row],[Member Type]]="Main Member",COUNTIFS($B$3:$B$98,"Main Member",$C$3:$C$98,Table3[[#This Row],[Main Member Link ID]])-COUNTIFS($B49:$B$98,"Main Member",$C49:$C$98,Table3[[#This Row],[Main Member Link ID]]),
IF(Table3[[#This Row],[Member Type]]="Beneficiary",COUNTIFS($B$3:$B$98,"Beneficiary",$C$3:$C$98,Table3[[#This Row],[Main Member Link ID]])-COUNTIFS($B49:$B$98,"Beneficiary",$C49:$C$98,Table3[[#This Row],[Main Member Link ID]]),0))))))</f>
        <v>0</v>
      </c>
      <c r="Q4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8" s="166">
        <f>IF(Table3[[#This Row],[Member Type]]="Child",Table3[[#This Row],[Rate per 10,000]]/10000*Table3[[#This Row],[Cover Amount]],0)</f>
        <v>0</v>
      </c>
      <c r="S48" s="165">
        <f>IF(Table3[[#This Row],[Member Type]]="Child",COUNTIFS(Table3[Each Child Premium],Table3[[#This Row],[Each Child Premium]],Table3[Main Member Link ID],Table3[[#This Row],[Main Member Link ID]]),0)</f>
        <v>0</v>
      </c>
      <c r="T48" s="165" t="str">
        <f>IF(Table3[[#This Row],[No. of Child with same Cover Amont under a policy]]=0,"",IF(Table3[[#This Row],[Each Child Premium]]&gt;=_xlfn.MAXIFS(Table3[Each Child Premium],Table3[Main Member Link ID],Table3[[#This Row],[Main Member Link ID]]),"Yes",""))</f>
        <v/>
      </c>
      <c r="U4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policy]]&gt;1,J48=_xlfn.MINIFS(Table3[Age],Table3[Member Type],"Child",Table3[Main Member Link ID],Table3[[#This Row],[Main Member Link ID]],Table3[No. of Child with same Cover Amont under a policy],Table3[[#This Row],[No. of Child with same Cover Amont under a policy]])),1,0)),0)</f>
        <v>0</v>
      </c>
    </row>
    <row r="49" spans="2:21" x14ac:dyDescent="0.3">
      <c r="B49" s="173">
        <f>Members!B52</f>
        <v>0</v>
      </c>
      <c r="C49" s="174">
        <f>Members!E52</f>
        <v>0</v>
      </c>
      <c r="D49" s="174">
        <f>Members!F52</f>
        <v>0</v>
      </c>
      <c r="E49" s="174">
        <f>Members!G52</f>
        <v>0</v>
      </c>
      <c r="F49" s="72">
        <f>Members!H52</f>
        <v>0</v>
      </c>
      <c r="G49" s="71">
        <f>Members!I52</f>
        <v>0</v>
      </c>
      <c r="H49" s="71" t="str">
        <f>Members!J52</f>
        <v/>
      </c>
      <c r="I49" s="72">
        <f>Members!K52</f>
        <v>0</v>
      </c>
      <c r="J49" s="73">
        <f t="shared" si="1"/>
        <v>1</v>
      </c>
      <c r="K49" s="74">
        <f>IFERROR(IF(OR(B49=0,Table3[[#This Row],[Age]]=0,Table3[[#This Row],[Member Type]]="Beneficiary"),0,
IF(B49="Main Member",VLOOKUP(J49,Rate_MM,5),
IF(B49="Spouse",VLOOKUP(J49,Rate_SP,5),
IF(B49="Extended",VLOOKUP(J49,Rate_EXT,5),
IF(B49="Parent",VLOOKUP(J49,Rate_PAR,5),
IF(B49="Child",VLOOKUP(J49,Rate_CH,5))))))),0)</f>
        <v>0</v>
      </c>
      <c r="L49" s="74">
        <f>IFERROR(IF(OR(B49=0,Table3[[#This Row],[Age]]=0,Table3[[#This Row],[Member Type]]="Beneficiary"),0,
IF(B49="Main Member",VLOOKUP(J49,Rate_MM,4),
IF(B49="Spouse",VLOOKUP(J49,Rate_SP,4),
IF(B49="Extended",VLOOKUP(J49,Rate_EXT,4),
IF(B49="Parent",VLOOKUP(J49,Rate_PAR,4),
IF(B49="Child",VLOOKUP(J49,Rate_CH,4))))))),0)</f>
        <v>0</v>
      </c>
      <c r="M49" s="75">
        <f>Members!N52</f>
        <v>0</v>
      </c>
      <c r="N4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4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49" s="165">
        <f>IF(Table3[[#This Row],[Member Type]]="Child",COUNTIFS($B$3:$B$98,"Child",$C$3:$C$98,Table3[[#This Row],[Main Member Link ID]])-COUNTIFS($B50:$B$98,"Child",$C50:$C$98,Table3[[#This Row],[Main Member Link ID]]),
IF(Table3[[#This Row],[Member Type]]="Extended",COUNTIFS($B$3:$B$98,"Extended",$C$3:$C$98,Table3[[#This Row],[Main Member Link ID]])-COUNTIFS($B50:$B$98,"Extended",$C50:$C$98,Table3[[#This Row],[Main Member Link ID]]),
IF(Table3[[#This Row],[Member Type]]="Parent",COUNTIFS($B$3:$B$98,"Parent",$C$3:$C$98,Table3[[#This Row],[Main Member Link ID]])-COUNTIFS($B50:$B$98,"Parent",$C50:$C$98,Table3[[#This Row],[Main Member Link ID]]),
IF(Table3[[#This Row],[Member Type]]="Spouse",COUNTIFS($B$3:$B$98,"Spouse",$C$3:$C$98,Table3[[#This Row],[Main Member Link ID]])-COUNTIFS($B50:$B$98,"Spouse",$C50:$C$98,Table3[[#This Row],[Main Member Link ID]]),
IF(Table3[[#This Row],[Member Type]]="Main Member",COUNTIFS($B$3:$B$98,"Main Member",$C$3:$C$98,Table3[[#This Row],[Main Member Link ID]])-COUNTIFS($B50:$B$98,"Main Member",$C50:$C$98,Table3[[#This Row],[Main Member Link ID]]),
IF(Table3[[#This Row],[Member Type]]="Beneficiary",COUNTIFS($B$3:$B$98,"Beneficiary",$C$3:$C$98,Table3[[#This Row],[Main Member Link ID]])-COUNTIFS($B50:$B$98,"Beneficiary",$C50:$C$98,Table3[[#This Row],[Main Member Link ID]]),0))))))</f>
        <v>0</v>
      </c>
      <c r="Q4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49" s="166">
        <f>IF(Table3[[#This Row],[Member Type]]="Child",Table3[[#This Row],[Rate per 10,000]]/10000*Table3[[#This Row],[Cover Amount]],0)</f>
        <v>0</v>
      </c>
      <c r="S49" s="165">
        <f>IF(Table3[[#This Row],[Member Type]]="Child",COUNTIFS(Table3[Each Child Premium],Table3[[#This Row],[Each Child Premium]],Table3[Main Member Link ID],Table3[[#This Row],[Main Member Link ID]]),0)</f>
        <v>0</v>
      </c>
      <c r="T49" s="165" t="str">
        <f>IF(Table3[[#This Row],[No. of Child with same Cover Amont under a policy]]=0,"",IF(Table3[[#This Row],[Each Child Premium]]&gt;=_xlfn.MAXIFS(Table3[Each Child Premium],Table3[Main Member Link ID],Table3[[#This Row],[Main Member Link ID]]),"Yes",""))</f>
        <v/>
      </c>
      <c r="U4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policy]]&gt;1,J49=_xlfn.MINIFS(Table3[Age],Table3[Member Type],"Child",Table3[Main Member Link ID],Table3[[#This Row],[Main Member Link ID]],Table3[No. of Child with same Cover Amont under a policy],Table3[[#This Row],[No. of Child with same Cover Amont under a policy]])),1,0)),0)</f>
        <v>0</v>
      </c>
    </row>
    <row r="50" spans="2:21" x14ac:dyDescent="0.3">
      <c r="B50" s="173">
        <f>Members!B53</f>
        <v>0</v>
      </c>
      <c r="C50" s="174">
        <f>Members!E53</f>
        <v>0</v>
      </c>
      <c r="D50" s="174">
        <f>Members!F53</f>
        <v>0</v>
      </c>
      <c r="E50" s="174">
        <f>Members!G53</f>
        <v>0</v>
      </c>
      <c r="F50" s="72">
        <f>Members!H53</f>
        <v>0</v>
      </c>
      <c r="G50" s="71">
        <f>Members!I53</f>
        <v>0</v>
      </c>
      <c r="H50" s="71" t="str">
        <f>Members!J53</f>
        <v/>
      </c>
      <c r="I50" s="72">
        <f>Members!K53</f>
        <v>0</v>
      </c>
      <c r="J50" s="73">
        <f t="shared" si="1"/>
        <v>1</v>
      </c>
      <c r="K50" s="74">
        <f>IFERROR(IF(OR(B50=0,Table3[[#This Row],[Age]]=0,Table3[[#This Row],[Member Type]]="Beneficiary"),0,
IF(B50="Main Member",VLOOKUP(J50,Rate_MM,5),
IF(B50="Spouse",VLOOKUP(J50,Rate_SP,5),
IF(B50="Extended",VLOOKUP(J50,Rate_EXT,5),
IF(B50="Parent",VLOOKUP(J50,Rate_PAR,5),
IF(B50="Child",VLOOKUP(J50,Rate_CH,5))))))),0)</f>
        <v>0</v>
      </c>
      <c r="L50" s="74">
        <f>IFERROR(IF(OR(B50=0,Table3[[#This Row],[Age]]=0,Table3[[#This Row],[Member Type]]="Beneficiary"),0,
IF(B50="Main Member",VLOOKUP(J50,Rate_MM,4),
IF(B50="Spouse",VLOOKUP(J50,Rate_SP,4),
IF(B50="Extended",VLOOKUP(J50,Rate_EXT,4),
IF(B50="Parent",VLOOKUP(J50,Rate_PAR,4),
IF(B50="Child",VLOOKUP(J50,Rate_CH,4))))))),0)</f>
        <v>0</v>
      </c>
      <c r="M50" s="75">
        <f>Members!N53</f>
        <v>0</v>
      </c>
      <c r="N5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0" s="165">
        <f>IF(Table3[[#This Row],[Member Type]]="Child",COUNTIFS($B$3:$B$98,"Child",$C$3:$C$98,Table3[[#This Row],[Main Member Link ID]])-COUNTIFS($B51:$B$98,"Child",$C51:$C$98,Table3[[#This Row],[Main Member Link ID]]),
IF(Table3[[#This Row],[Member Type]]="Extended",COUNTIFS($B$3:$B$98,"Extended",$C$3:$C$98,Table3[[#This Row],[Main Member Link ID]])-COUNTIFS($B51:$B$98,"Extended",$C51:$C$98,Table3[[#This Row],[Main Member Link ID]]),
IF(Table3[[#This Row],[Member Type]]="Parent",COUNTIFS($B$3:$B$98,"Parent",$C$3:$C$98,Table3[[#This Row],[Main Member Link ID]])-COUNTIFS($B51:$B$98,"Parent",$C51:$C$98,Table3[[#This Row],[Main Member Link ID]]),
IF(Table3[[#This Row],[Member Type]]="Spouse",COUNTIFS($B$3:$B$98,"Spouse",$C$3:$C$98,Table3[[#This Row],[Main Member Link ID]])-COUNTIFS($B51:$B$98,"Spouse",$C51:$C$98,Table3[[#This Row],[Main Member Link ID]]),
IF(Table3[[#This Row],[Member Type]]="Main Member",COUNTIFS($B$3:$B$98,"Main Member",$C$3:$C$98,Table3[[#This Row],[Main Member Link ID]])-COUNTIFS($B51:$B$98,"Main Member",$C51:$C$98,Table3[[#This Row],[Main Member Link ID]]),
IF(Table3[[#This Row],[Member Type]]="Beneficiary",COUNTIFS($B$3:$B$98,"Beneficiary",$C$3:$C$98,Table3[[#This Row],[Main Member Link ID]])-COUNTIFS($B51:$B$98,"Beneficiary",$C51:$C$98,Table3[[#This Row],[Main Member Link ID]]),0))))))</f>
        <v>0</v>
      </c>
      <c r="Q5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0" s="166">
        <f>IF(Table3[[#This Row],[Member Type]]="Child",Table3[[#This Row],[Rate per 10,000]]/10000*Table3[[#This Row],[Cover Amount]],0)</f>
        <v>0</v>
      </c>
      <c r="S50" s="165">
        <f>IF(Table3[[#This Row],[Member Type]]="Child",COUNTIFS(Table3[Each Child Premium],Table3[[#This Row],[Each Child Premium]],Table3[Main Member Link ID],Table3[[#This Row],[Main Member Link ID]]),0)</f>
        <v>0</v>
      </c>
      <c r="T50" s="165" t="str">
        <f>IF(Table3[[#This Row],[No. of Child with same Cover Amont under a policy]]=0,"",IF(Table3[[#This Row],[Each Child Premium]]&gt;=_xlfn.MAXIFS(Table3[Each Child Premium],Table3[Main Member Link ID],Table3[[#This Row],[Main Member Link ID]]),"Yes",""))</f>
        <v/>
      </c>
      <c r="U5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policy]]&gt;1,J50=_xlfn.MINIFS(Table3[Age],Table3[Member Type],"Child",Table3[Main Member Link ID],Table3[[#This Row],[Main Member Link ID]],Table3[No. of Child with same Cover Amont under a policy],Table3[[#This Row],[No. of Child with same Cover Amont under a policy]])),1,0)),0)</f>
        <v>0</v>
      </c>
    </row>
    <row r="51" spans="2:21" x14ac:dyDescent="0.3">
      <c r="B51" s="173">
        <f>Members!B54</f>
        <v>0</v>
      </c>
      <c r="C51" s="174">
        <f>Members!E54</f>
        <v>0</v>
      </c>
      <c r="D51" s="174">
        <f>Members!F54</f>
        <v>0</v>
      </c>
      <c r="E51" s="174">
        <f>Members!G54</f>
        <v>0</v>
      </c>
      <c r="F51" s="72">
        <f>Members!H54</f>
        <v>0</v>
      </c>
      <c r="G51" s="71">
        <f>Members!I54</f>
        <v>0</v>
      </c>
      <c r="H51" s="71" t="str">
        <f>Members!J54</f>
        <v/>
      </c>
      <c r="I51" s="72">
        <f>Members!K54</f>
        <v>0</v>
      </c>
      <c r="J51" s="73">
        <f t="shared" si="1"/>
        <v>1</v>
      </c>
      <c r="K51" s="74">
        <f>IFERROR(IF(OR(B51=0,Table3[[#This Row],[Age]]=0,Table3[[#This Row],[Member Type]]="Beneficiary"),0,
IF(B51="Main Member",VLOOKUP(J51,Rate_MM,5),
IF(B51="Spouse",VLOOKUP(J51,Rate_SP,5),
IF(B51="Extended",VLOOKUP(J51,Rate_EXT,5),
IF(B51="Parent",VLOOKUP(J51,Rate_PAR,5),
IF(B51="Child",VLOOKUP(J51,Rate_CH,5))))))),0)</f>
        <v>0</v>
      </c>
      <c r="L51" s="74">
        <f>IFERROR(IF(OR(B51=0,Table3[[#This Row],[Age]]=0,Table3[[#This Row],[Member Type]]="Beneficiary"),0,
IF(B51="Main Member",VLOOKUP(J51,Rate_MM,4),
IF(B51="Spouse",VLOOKUP(J51,Rate_SP,4),
IF(B51="Extended",VLOOKUP(J51,Rate_EXT,4),
IF(B51="Parent",VLOOKUP(J51,Rate_PAR,4),
IF(B51="Child",VLOOKUP(J51,Rate_CH,4))))))),0)</f>
        <v>0</v>
      </c>
      <c r="M51" s="75">
        <f>Members!N54</f>
        <v>0</v>
      </c>
      <c r="N5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1" s="165">
        <f>IF(Table3[[#This Row],[Member Type]]="Child",COUNTIFS($B$3:$B$98,"Child",$C$3:$C$98,Table3[[#This Row],[Main Member Link ID]])-COUNTIFS($B52:$B$98,"Child",$C52:$C$98,Table3[[#This Row],[Main Member Link ID]]),
IF(Table3[[#This Row],[Member Type]]="Extended",COUNTIFS($B$3:$B$98,"Extended",$C$3:$C$98,Table3[[#This Row],[Main Member Link ID]])-COUNTIFS($B52:$B$98,"Extended",$C52:$C$98,Table3[[#This Row],[Main Member Link ID]]),
IF(Table3[[#This Row],[Member Type]]="Parent",COUNTIFS($B$3:$B$98,"Parent",$C$3:$C$98,Table3[[#This Row],[Main Member Link ID]])-COUNTIFS($B52:$B$98,"Parent",$C52:$C$98,Table3[[#This Row],[Main Member Link ID]]),
IF(Table3[[#This Row],[Member Type]]="Spouse",COUNTIFS($B$3:$B$98,"Spouse",$C$3:$C$98,Table3[[#This Row],[Main Member Link ID]])-COUNTIFS($B52:$B$98,"Spouse",$C52:$C$98,Table3[[#This Row],[Main Member Link ID]]),
IF(Table3[[#This Row],[Member Type]]="Main Member",COUNTIFS($B$3:$B$98,"Main Member",$C$3:$C$98,Table3[[#This Row],[Main Member Link ID]])-COUNTIFS($B52:$B$98,"Main Member",$C52:$C$98,Table3[[#This Row],[Main Member Link ID]]),
IF(Table3[[#This Row],[Member Type]]="Beneficiary",COUNTIFS($B$3:$B$98,"Beneficiary",$C$3:$C$98,Table3[[#This Row],[Main Member Link ID]])-COUNTIFS($B52:$B$98,"Beneficiary",$C52:$C$98,Table3[[#This Row],[Main Member Link ID]]),0))))))</f>
        <v>0</v>
      </c>
      <c r="Q5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1" s="166">
        <f>IF(Table3[[#This Row],[Member Type]]="Child",Table3[[#This Row],[Rate per 10,000]]/10000*Table3[[#This Row],[Cover Amount]],0)</f>
        <v>0</v>
      </c>
      <c r="S51" s="165">
        <f>IF(Table3[[#This Row],[Member Type]]="Child",COUNTIFS(Table3[Each Child Premium],Table3[[#This Row],[Each Child Premium]],Table3[Main Member Link ID],Table3[[#This Row],[Main Member Link ID]]),0)</f>
        <v>0</v>
      </c>
      <c r="T51" s="165" t="str">
        <f>IF(Table3[[#This Row],[No. of Child with same Cover Amont under a policy]]=0,"",IF(Table3[[#This Row],[Each Child Premium]]&gt;=_xlfn.MAXIFS(Table3[Each Child Premium],Table3[Main Member Link ID],Table3[[#This Row],[Main Member Link ID]]),"Yes",""))</f>
        <v/>
      </c>
      <c r="U5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policy]]&gt;1,J51=_xlfn.MINIFS(Table3[Age],Table3[Member Type],"Child",Table3[Main Member Link ID],Table3[[#This Row],[Main Member Link ID]],Table3[No. of Child with same Cover Amont under a policy],Table3[[#This Row],[No. of Child with same Cover Amont under a policy]])),1,0)),0)</f>
        <v>0</v>
      </c>
    </row>
    <row r="52" spans="2:21" x14ac:dyDescent="0.3">
      <c r="B52" s="173">
        <f>Members!B55</f>
        <v>0</v>
      </c>
      <c r="C52" s="174">
        <f>Members!E55</f>
        <v>0</v>
      </c>
      <c r="D52" s="174">
        <f>Members!F55</f>
        <v>0</v>
      </c>
      <c r="E52" s="174">
        <f>Members!G55</f>
        <v>0</v>
      </c>
      <c r="F52" s="72">
        <f>Members!H55</f>
        <v>0</v>
      </c>
      <c r="G52" s="71">
        <f>Members!I55</f>
        <v>0</v>
      </c>
      <c r="H52" s="71" t="str">
        <f>Members!J55</f>
        <v/>
      </c>
      <c r="I52" s="72">
        <f>Members!K55</f>
        <v>0</v>
      </c>
      <c r="J52" s="73">
        <f t="shared" si="1"/>
        <v>1</v>
      </c>
      <c r="K52" s="74">
        <f>IFERROR(IF(OR(B52=0,Table3[[#This Row],[Age]]=0,Table3[[#This Row],[Member Type]]="Beneficiary"),0,
IF(B52="Main Member",VLOOKUP(J52,Rate_MM,5),
IF(B52="Spouse",VLOOKUP(J52,Rate_SP,5),
IF(B52="Extended",VLOOKUP(J52,Rate_EXT,5),
IF(B52="Parent",VLOOKUP(J52,Rate_PAR,5),
IF(B52="Child",VLOOKUP(J52,Rate_CH,5))))))),0)</f>
        <v>0</v>
      </c>
      <c r="L52" s="74">
        <f>IFERROR(IF(OR(B52=0,Table3[[#This Row],[Age]]=0,Table3[[#This Row],[Member Type]]="Beneficiary"),0,
IF(B52="Main Member",VLOOKUP(J52,Rate_MM,4),
IF(B52="Spouse",VLOOKUP(J52,Rate_SP,4),
IF(B52="Extended",VLOOKUP(J52,Rate_EXT,4),
IF(B52="Parent",VLOOKUP(J52,Rate_PAR,4),
IF(B52="Child",VLOOKUP(J52,Rate_CH,4))))))),0)</f>
        <v>0</v>
      </c>
      <c r="M52" s="75">
        <f>Members!N55</f>
        <v>0</v>
      </c>
      <c r="N5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2" s="165">
        <f>IF(Table3[[#This Row],[Member Type]]="Child",COUNTIFS($B$3:$B$98,"Child",$C$3:$C$98,Table3[[#This Row],[Main Member Link ID]])-COUNTIFS($B53:$B$98,"Child",$C53:$C$98,Table3[[#This Row],[Main Member Link ID]]),
IF(Table3[[#This Row],[Member Type]]="Extended",COUNTIFS($B$3:$B$98,"Extended",$C$3:$C$98,Table3[[#This Row],[Main Member Link ID]])-COUNTIFS($B53:$B$98,"Extended",$C53:$C$98,Table3[[#This Row],[Main Member Link ID]]),
IF(Table3[[#This Row],[Member Type]]="Parent",COUNTIFS($B$3:$B$98,"Parent",$C$3:$C$98,Table3[[#This Row],[Main Member Link ID]])-COUNTIFS($B53:$B$98,"Parent",$C53:$C$98,Table3[[#This Row],[Main Member Link ID]]),
IF(Table3[[#This Row],[Member Type]]="Spouse",COUNTIFS($B$3:$B$98,"Spouse",$C$3:$C$98,Table3[[#This Row],[Main Member Link ID]])-COUNTIFS($B53:$B$98,"Spouse",$C53:$C$98,Table3[[#This Row],[Main Member Link ID]]),
IF(Table3[[#This Row],[Member Type]]="Main Member",COUNTIFS($B$3:$B$98,"Main Member",$C$3:$C$98,Table3[[#This Row],[Main Member Link ID]])-COUNTIFS($B53:$B$98,"Main Member",$C53:$C$98,Table3[[#This Row],[Main Member Link ID]]),
IF(Table3[[#This Row],[Member Type]]="Beneficiary",COUNTIFS($B$3:$B$98,"Beneficiary",$C$3:$C$98,Table3[[#This Row],[Main Member Link ID]])-COUNTIFS($B53:$B$98,"Beneficiary",$C53:$C$98,Table3[[#This Row],[Main Member Link ID]]),0))))))</f>
        <v>0</v>
      </c>
      <c r="Q5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2" s="166">
        <f>IF(Table3[[#This Row],[Member Type]]="Child",Table3[[#This Row],[Rate per 10,000]]/10000*Table3[[#This Row],[Cover Amount]],0)</f>
        <v>0</v>
      </c>
      <c r="S52" s="165">
        <f>IF(Table3[[#This Row],[Member Type]]="Child",COUNTIFS(Table3[Each Child Premium],Table3[[#This Row],[Each Child Premium]],Table3[Main Member Link ID],Table3[[#This Row],[Main Member Link ID]]),0)</f>
        <v>0</v>
      </c>
      <c r="T52" s="165" t="str">
        <f>IF(Table3[[#This Row],[No. of Child with same Cover Amont under a policy]]=0,"",IF(Table3[[#This Row],[Each Child Premium]]&gt;=_xlfn.MAXIFS(Table3[Each Child Premium],Table3[Main Member Link ID],Table3[[#This Row],[Main Member Link ID]]),"Yes",""))</f>
        <v/>
      </c>
      <c r="U5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policy]]&gt;1,J52=_xlfn.MINIFS(Table3[Age],Table3[Member Type],"Child",Table3[Main Member Link ID],Table3[[#This Row],[Main Member Link ID]],Table3[No. of Child with same Cover Amont under a policy],Table3[[#This Row],[No. of Child with same Cover Amont under a policy]])),1,0)),0)</f>
        <v>0</v>
      </c>
    </row>
    <row r="53" spans="2:21" x14ac:dyDescent="0.3">
      <c r="B53" s="173">
        <f>Members!B56</f>
        <v>0</v>
      </c>
      <c r="C53" s="174">
        <f>Members!E56</f>
        <v>0</v>
      </c>
      <c r="D53" s="174">
        <f>Members!F56</f>
        <v>0</v>
      </c>
      <c r="E53" s="174">
        <f>Members!G56</f>
        <v>0</v>
      </c>
      <c r="F53" s="72">
        <f>Members!H56</f>
        <v>0</v>
      </c>
      <c r="G53" s="71">
        <f>Members!I56</f>
        <v>0</v>
      </c>
      <c r="H53" s="71" t="str">
        <f>Members!J56</f>
        <v/>
      </c>
      <c r="I53" s="72">
        <f>Members!K56</f>
        <v>0</v>
      </c>
      <c r="J53" s="73">
        <f t="shared" si="1"/>
        <v>1</v>
      </c>
      <c r="K53" s="74">
        <f>IFERROR(IF(OR(B53=0,Table3[[#This Row],[Age]]=0,Table3[[#This Row],[Member Type]]="Beneficiary"),0,
IF(B53="Main Member",VLOOKUP(J53,Rate_MM,5),
IF(B53="Spouse",VLOOKUP(J53,Rate_SP,5),
IF(B53="Extended",VLOOKUP(J53,Rate_EXT,5),
IF(B53="Parent",VLOOKUP(J53,Rate_PAR,5),
IF(B53="Child",VLOOKUP(J53,Rate_CH,5))))))),0)</f>
        <v>0</v>
      </c>
      <c r="L53" s="74">
        <f>IFERROR(IF(OR(B53=0,Table3[[#This Row],[Age]]=0,Table3[[#This Row],[Member Type]]="Beneficiary"),0,
IF(B53="Main Member",VLOOKUP(J53,Rate_MM,4),
IF(B53="Spouse",VLOOKUP(J53,Rate_SP,4),
IF(B53="Extended",VLOOKUP(J53,Rate_EXT,4),
IF(B53="Parent",VLOOKUP(J53,Rate_PAR,4),
IF(B53="Child",VLOOKUP(J53,Rate_CH,4))))))),0)</f>
        <v>0</v>
      </c>
      <c r="M53" s="75">
        <f>Members!N56</f>
        <v>0</v>
      </c>
      <c r="N5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3" s="165">
        <f>IF(Table3[[#This Row],[Member Type]]="Child",COUNTIFS($B$3:$B$98,"Child",$C$3:$C$98,Table3[[#This Row],[Main Member Link ID]])-COUNTIFS($B54:$B$98,"Child",$C54:$C$98,Table3[[#This Row],[Main Member Link ID]]),
IF(Table3[[#This Row],[Member Type]]="Extended",COUNTIFS($B$3:$B$98,"Extended",$C$3:$C$98,Table3[[#This Row],[Main Member Link ID]])-COUNTIFS($B54:$B$98,"Extended",$C54:$C$98,Table3[[#This Row],[Main Member Link ID]]),
IF(Table3[[#This Row],[Member Type]]="Parent",COUNTIFS($B$3:$B$98,"Parent",$C$3:$C$98,Table3[[#This Row],[Main Member Link ID]])-COUNTIFS($B54:$B$98,"Parent",$C54:$C$98,Table3[[#This Row],[Main Member Link ID]]),
IF(Table3[[#This Row],[Member Type]]="Spouse",COUNTIFS($B$3:$B$98,"Spouse",$C$3:$C$98,Table3[[#This Row],[Main Member Link ID]])-COUNTIFS($B54:$B$98,"Spouse",$C54:$C$98,Table3[[#This Row],[Main Member Link ID]]),
IF(Table3[[#This Row],[Member Type]]="Main Member",COUNTIFS($B$3:$B$98,"Main Member",$C$3:$C$98,Table3[[#This Row],[Main Member Link ID]])-COUNTIFS($B54:$B$98,"Main Member",$C54:$C$98,Table3[[#This Row],[Main Member Link ID]]),
IF(Table3[[#This Row],[Member Type]]="Beneficiary",COUNTIFS($B$3:$B$98,"Beneficiary",$C$3:$C$98,Table3[[#This Row],[Main Member Link ID]])-COUNTIFS($B54:$B$98,"Beneficiary",$C54:$C$98,Table3[[#This Row],[Main Member Link ID]]),0))))))</f>
        <v>0</v>
      </c>
      <c r="Q5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3" s="166">
        <f>IF(Table3[[#This Row],[Member Type]]="Child",Table3[[#This Row],[Rate per 10,000]]/10000*Table3[[#This Row],[Cover Amount]],0)</f>
        <v>0</v>
      </c>
      <c r="S53" s="165">
        <f>IF(Table3[[#This Row],[Member Type]]="Child",COUNTIFS(Table3[Each Child Premium],Table3[[#This Row],[Each Child Premium]],Table3[Main Member Link ID],Table3[[#This Row],[Main Member Link ID]]),0)</f>
        <v>0</v>
      </c>
      <c r="T53" s="165" t="str">
        <f>IF(Table3[[#This Row],[No. of Child with same Cover Amont under a policy]]=0,"",IF(Table3[[#This Row],[Each Child Premium]]&gt;=_xlfn.MAXIFS(Table3[Each Child Premium],Table3[Main Member Link ID],Table3[[#This Row],[Main Member Link ID]]),"Yes",""))</f>
        <v/>
      </c>
      <c r="U5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policy]]&gt;1,J53=_xlfn.MINIFS(Table3[Age],Table3[Member Type],"Child",Table3[Main Member Link ID],Table3[[#This Row],[Main Member Link ID]],Table3[No. of Child with same Cover Amont under a policy],Table3[[#This Row],[No. of Child with same Cover Amont under a policy]])),1,0)),0)</f>
        <v>0</v>
      </c>
    </row>
    <row r="54" spans="2:21" x14ac:dyDescent="0.3">
      <c r="B54" s="173">
        <f>Members!B57</f>
        <v>0</v>
      </c>
      <c r="C54" s="174">
        <f>Members!E57</f>
        <v>0</v>
      </c>
      <c r="D54" s="174">
        <f>Members!F57</f>
        <v>0</v>
      </c>
      <c r="E54" s="174">
        <f>Members!G57</f>
        <v>0</v>
      </c>
      <c r="F54" s="72">
        <f>Members!H57</f>
        <v>0</v>
      </c>
      <c r="G54" s="71">
        <f>Members!I57</f>
        <v>0</v>
      </c>
      <c r="H54" s="71" t="str">
        <f>Members!J57</f>
        <v/>
      </c>
      <c r="I54" s="72">
        <f>Members!K57</f>
        <v>0</v>
      </c>
      <c r="J54" s="73">
        <f t="shared" si="1"/>
        <v>1</v>
      </c>
      <c r="K54" s="74">
        <f>IFERROR(IF(OR(B54=0,Table3[[#This Row],[Age]]=0,Table3[[#This Row],[Member Type]]="Beneficiary"),0,
IF(B54="Main Member",VLOOKUP(J54,Rate_MM,5),
IF(B54="Spouse",VLOOKUP(J54,Rate_SP,5),
IF(B54="Extended",VLOOKUP(J54,Rate_EXT,5),
IF(B54="Parent",VLOOKUP(J54,Rate_PAR,5),
IF(B54="Child",VLOOKUP(J54,Rate_CH,5))))))),0)</f>
        <v>0</v>
      </c>
      <c r="L54" s="74">
        <f>IFERROR(IF(OR(B54=0,Table3[[#This Row],[Age]]=0,Table3[[#This Row],[Member Type]]="Beneficiary"),0,
IF(B54="Main Member",VLOOKUP(J54,Rate_MM,4),
IF(B54="Spouse",VLOOKUP(J54,Rate_SP,4),
IF(B54="Extended",VLOOKUP(J54,Rate_EXT,4),
IF(B54="Parent",VLOOKUP(J54,Rate_PAR,4),
IF(B54="Child",VLOOKUP(J54,Rate_CH,4))))))),0)</f>
        <v>0</v>
      </c>
      <c r="M54" s="75">
        <f>Members!N57</f>
        <v>0</v>
      </c>
      <c r="N5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4" s="165">
        <f>IF(Table3[[#This Row],[Member Type]]="Child",COUNTIFS($B$3:$B$98,"Child",$C$3:$C$98,Table3[[#This Row],[Main Member Link ID]])-COUNTIFS($B55:$B$98,"Child",$C55:$C$98,Table3[[#This Row],[Main Member Link ID]]),
IF(Table3[[#This Row],[Member Type]]="Extended",COUNTIFS($B$3:$B$98,"Extended",$C$3:$C$98,Table3[[#This Row],[Main Member Link ID]])-COUNTIFS($B55:$B$98,"Extended",$C55:$C$98,Table3[[#This Row],[Main Member Link ID]]),
IF(Table3[[#This Row],[Member Type]]="Parent",COUNTIFS($B$3:$B$98,"Parent",$C$3:$C$98,Table3[[#This Row],[Main Member Link ID]])-COUNTIFS($B55:$B$98,"Parent",$C55:$C$98,Table3[[#This Row],[Main Member Link ID]]),
IF(Table3[[#This Row],[Member Type]]="Spouse",COUNTIFS($B$3:$B$98,"Spouse",$C$3:$C$98,Table3[[#This Row],[Main Member Link ID]])-COUNTIFS($B55:$B$98,"Spouse",$C55:$C$98,Table3[[#This Row],[Main Member Link ID]]),
IF(Table3[[#This Row],[Member Type]]="Main Member",COUNTIFS($B$3:$B$98,"Main Member",$C$3:$C$98,Table3[[#This Row],[Main Member Link ID]])-COUNTIFS($B55:$B$98,"Main Member",$C55:$C$98,Table3[[#This Row],[Main Member Link ID]]),
IF(Table3[[#This Row],[Member Type]]="Beneficiary",COUNTIFS($B$3:$B$98,"Beneficiary",$C$3:$C$98,Table3[[#This Row],[Main Member Link ID]])-COUNTIFS($B55:$B$98,"Beneficiary",$C55:$C$98,Table3[[#This Row],[Main Member Link ID]]),0))))))</f>
        <v>0</v>
      </c>
      <c r="Q5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4" s="166">
        <f>IF(Table3[[#This Row],[Member Type]]="Child",Table3[[#This Row],[Rate per 10,000]]/10000*Table3[[#This Row],[Cover Amount]],0)</f>
        <v>0</v>
      </c>
      <c r="S54" s="165">
        <f>IF(Table3[[#This Row],[Member Type]]="Child",COUNTIFS(Table3[Each Child Premium],Table3[[#This Row],[Each Child Premium]],Table3[Main Member Link ID],Table3[[#This Row],[Main Member Link ID]]),0)</f>
        <v>0</v>
      </c>
      <c r="T54" s="165" t="str">
        <f>IF(Table3[[#This Row],[No. of Child with same Cover Amont under a policy]]=0,"",IF(Table3[[#This Row],[Each Child Premium]]&gt;=_xlfn.MAXIFS(Table3[Each Child Premium],Table3[Main Member Link ID],Table3[[#This Row],[Main Member Link ID]]),"Yes",""))</f>
        <v/>
      </c>
      <c r="U5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policy]]&gt;1,J54=_xlfn.MINIFS(Table3[Age],Table3[Member Type],"Child",Table3[Main Member Link ID],Table3[[#This Row],[Main Member Link ID]],Table3[No. of Child with same Cover Amont under a policy],Table3[[#This Row],[No. of Child with same Cover Amont under a policy]])),1,0)),0)</f>
        <v>0</v>
      </c>
    </row>
    <row r="55" spans="2:21" x14ac:dyDescent="0.3">
      <c r="B55" s="173">
        <f>Members!B58</f>
        <v>0</v>
      </c>
      <c r="C55" s="174">
        <f>Members!E58</f>
        <v>0</v>
      </c>
      <c r="D55" s="174">
        <f>Members!F58</f>
        <v>0</v>
      </c>
      <c r="E55" s="174">
        <f>Members!G58</f>
        <v>0</v>
      </c>
      <c r="F55" s="72">
        <f>Members!H58</f>
        <v>0</v>
      </c>
      <c r="G55" s="71">
        <f>Members!I58</f>
        <v>0</v>
      </c>
      <c r="H55" s="71" t="str">
        <f>Members!J58</f>
        <v/>
      </c>
      <c r="I55" s="72">
        <f>Members!K58</f>
        <v>0</v>
      </c>
      <c r="J55" s="73">
        <f t="shared" si="1"/>
        <v>1</v>
      </c>
      <c r="K55" s="74">
        <f>IFERROR(IF(OR(B55=0,Table3[[#This Row],[Age]]=0,Table3[[#This Row],[Member Type]]="Beneficiary"),0,
IF(B55="Main Member",VLOOKUP(J55,Rate_MM,5),
IF(B55="Spouse",VLOOKUP(J55,Rate_SP,5),
IF(B55="Extended",VLOOKUP(J55,Rate_EXT,5),
IF(B55="Parent",VLOOKUP(J55,Rate_PAR,5),
IF(B55="Child",VLOOKUP(J55,Rate_CH,5))))))),0)</f>
        <v>0</v>
      </c>
      <c r="L55" s="74">
        <f>IFERROR(IF(OR(B55=0,Table3[[#This Row],[Age]]=0,Table3[[#This Row],[Member Type]]="Beneficiary"),0,
IF(B55="Main Member",VLOOKUP(J55,Rate_MM,4),
IF(B55="Spouse",VLOOKUP(J55,Rate_SP,4),
IF(B55="Extended",VLOOKUP(J55,Rate_EXT,4),
IF(B55="Parent",VLOOKUP(J55,Rate_PAR,4),
IF(B55="Child",VLOOKUP(J55,Rate_CH,4))))))),0)</f>
        <v>0</v>
      </c>
      <c r="M55" s="75">
        <f>Members!N58</f>
        <v>0</v>
      </c>
      <c r="N5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5" s="165">
        <f>IF(Table3[[#This Row],[Member Type]]="Child",COUNTIFS($B$3:$B$98,"Child",$C$3:$C$98,Table3[[#This Row],[Main Member Link ID]])-COUNTIFS($B56:$B$98,"Child",$C56:$C$98,Table3[[#This Row],[Main Member Link ID]]),
IF(Table3[[#This Row],[Member Type]]="Extended",COUNTIFS($B$3:$B$98,"Extended",$C$3:$C$98,Table3[[#This Row],[Main Member Link ID]])-COUNTIFS($B56:$B$98,"Extended",$C56:$C$98,Table3[[#This Row],[Main Member Link ID]]),
IF(Table3[[#This Row],[Member Type]]="Parent",COUNTIFS($B$3:$B$98,"Parent",$C$3:$C$98,Table3[[#This Row],[Main Member Link ID]])-COUNTIFS($B56:$B$98,"Parent",$C56:$C$98,Table3[[#This Row],[Main Member Link ID]]),
IF(Table3[[#This Row],[Member Type]]="Spouse",COUNTIFS($B$3:$B$98,"Spouse",$C$3:$C$98,Table3[[#This Row],[Main Member Link ID]])-COUNTIFS($B56:$B$98,"Spouse",$C56:$C$98,Table3[[#This Row],[Main Member Link ID]]),
IF(Table3[[#This Row],[Member Type]]="Main Member",COUNTIFS($B$3:$B$98,"Main Member",$C$3:$C$98,Table3[[#This Row],[Main Member Link ID]])-COUNTIFS($B56:$B$98,"Main Member",$C56:$C$98,Table3[[#This Row],[Main Member Link ID]]),
IF(Table3[[#This Row],[Member Type]]="Beneficiary",COUNTIFS($B$3:$B$98,"Beneficiary",$C$3:$C$98,Table3[[#This Row],[Main Member Link ID]])-COUNTIFS($B56:$B$98,"Beneficiary",$C56:$C$98,Table3[[#This Row],[Main Member Link ID]]),0))))))</f>
        <v>0</v>
      </c>
      <c r="Q5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5" s="166">
        <f>IF(Table3[[#This Row],[Member Type]]="Child",Table3[[#This Row],[Rate per 10,000]]/10000*Table3[[#This Row],[Cover Amount]],0)</f>
        <v>0</v>
      </c>
      <c r="S55" s="165">
        <f>IF(Table3[[#This Row],[Member Type]]="Child",COUNTIFS(Table3[Each Child Premium],Table3[[#This Row],[Each Child Premium]],Table3[Main Member Link ID],Table3[[#This Row],[Main Member Link ID]]),0)</f>
        <v>0</v>
      </c>
      <c r="T55" s="165" t="str">
        <f>IF(Table3[[#This Row],[No. of Child with same Cover Amont under a policy]]=0,"",IF(Table3[[#This Row],[Each Child Premium]]&gt;=_xlfn.MAXIFS(Table3[Each Child Premium],Table3[Main Member Link ID],Table3[[#This Row],[Main Member Link ID]]),"Yes",""))</f>
        <v/>
      </c>
      <c r="U5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policy]]&gt;1,J55=_xlfn.MINIFS(Table3[Age],Table3[Member Type],"Child",Table3[Main Member Link ID],Table3[[#This Row],[Main Member Link ID]],Table3[No. of Child with same Cover Amont under a policy],Table3[[#This Row],[No. of Child with same Cover Amont under a policy]])),1,0)),0)</f>
        <v>0</v>
      </c>
    </row>
    <row r="56" spans="2:21" x14ac:dyDescent="0.3">
      <c r="B56" s="173">
        <f>Members!B59</f>
        <v>0</v>
      </c>
      <c r="C56" s="174">
        <f>Members!E59</f>
        <v>0</v>
      </c>
      <c r="D56" s="174">
        <f>Members!F59</f>
        <v>0</v>
      </c>
      <c r="E56" s="174">
        <f>Members!G59</f>
        <v>0</v>
      </c>
      <c r="F56" s="72">
        <f>Members!H59</f>
        <v>0</v>
      </c>
      <c r="G56" s="71">
        <f>Members!I59</f>
        <v>0</v>
      </c>
      <c r="H56" s="71" t="str">
        <f>Members!J59</f>
        <v/>
      </c>
      <c r="I56" s="72">
        <f>Members!K59</f>
        <v>0</v>
      </c>
      <c r="J56" s="73">
        <f t="shared" si="1"/>
        <v>1</v>
      </c>
      <c r="K56" s="74">
        <f>IFERROR(IF(OR(B56=0,Table3[[#This Row],[Age]]=0,Table3[[#This Row],[Member Type]]="Beneficiary"),0,
IF(B56="Main Member",VLOOKUP(J56,Rate_MM,5),
IF(B56="Spouse",VLOOKUP(J56,Rate_SP,5),
IF(B56="Extended",VLOOKUP(J56,Rate_EXT,5),
IF(B56="Parent",VLOOKUP(J56,Rate_PAR,5),
IF(B56="Child",VLOOKUP(J56,Rate_CH,5))))))),0)</f>
        <v>0</v>
      </c>
      <c r="L56" s="74">
        <f>IFERROR(IF(OR(B56=0,Table3[[#This Row],[Age]]=0,Table3[[#This Row],[Member Type]]="Beneficiary"),0,
IF(B56="Main Member",VLOOKUP(J56,Rate_MM,4),
IF(B56="Spouse",VLOOKUP(J56,Rate_SP,4),
IF(B56="Extended",VLOOKUP(J56,Rate_EXT,4),
IF(B56="Parent",VLOOKUP(J56,Rate_PAR,4),
IF(B56="Child",VLOOKUP(J56,Rate_CH,4))))))),0)</f>
        <v>0</v>
      </c>
      <c r="M56" s="75">
        <f>Members!N59</f>
        <v>0</v>
      </c>
      <c r="N5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6" s="165">
        <f>IF(Table3[[#This Row],[Member Type]]="Child",COUNTIFS($B$3:$B$98,"Child",$C$3:$C$98,Table3[[#This Row],[Main Member Link ID]])-COUNTIFS($B57:$B$98,"Child",$C57:$C$98,Table3[[#This Row],[Main Member Link ID]]),
IF(Table3[[#This Row],[Member Type]]="Extended",COUNTIFS($B$3:$B$98,"Extended",$C$3:$C$98,Table3[[#This Row],[Main Member Link ID]])-COUNTIFS($B57:$B$98,"Extended",$C57:$C$98,Table3[[#This Row],[Main Member Link ID]]),
IF(Table3[[#This Row],[Member Type]]="Parent",COUNTIFS($B$3:$B$98,"Parent",$C$3:$C$98,Table3[[#This Row],[Main Member Link ID]])-COUNTIFS($B57:$B$98,"Parent",$C57:$C$98,Table3[[#This Row],[Main Member Link ID]]),
IF(Table3[[#This Row],[Member Type]]="Spouse",COUNTIFS($B$3:$B$98,"Spouse",$C$3:$C$98,Table3[[#This Row],[Main Member Link ID]])-COUNTIFS($B57:$B$98,"Spouse",$C57:$C$98,Table3[[#This Row],[Main Member Link ID]]),
IF(Table3[[#This Row],[Member Type]]="Main Member",COUNTIFS($B$3:$B$98,"Main Member",$C$3:$C$98,Table3[[#This Row],[Main Member Link ID]])-COUNTIFS($B57:$B$98,"Main Member",$C57:$C$98,Table3[[#This Row],[Main Member Link ID]]),
IF(Table3[[#This Row],[Member Type]]="Beneficiary",COUNTIFS($B$3:$B$98,"Beneficiary",$C$3:$C$98,Table3[[#This Row],[Main Member Link ID]])-COUNTIFS($B57:$B$98,"Beneficiary",$C57:$C$98,Table3[[#This Row],[Main Member Link ID]]),0))))))</f>
        <v>0</v>
      </c>
      <c r="Q5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6" s="166">
        <f>IF(Table3[[#This Row],[Member Type]]="Child",Table3[[#This Row],[Rate per 10,000]]/10000*Table3[[#This Row],[Cover Amount]],0)</f>
        <v>0</v>
      </c>
      <c r="S56" s="165">
        <f>IF(Table3[[#This Row],[Member Type]]="Child",COUNTIFS(Table3[Each Child Premium],Table3[[#This Row],[Each Child Premium]],Table3[Main Member Link ID],Table3[[#This Row],[Main Member Link ID]]),0)</f>
        <v>0</v>
      </c>
      <c r="T56" s="165" t="str">
        <f>IF(Table3[[#This Row],[No. of Child with same Cover Amont under a policy]]=0,"",IF(Table3[[#This Row],[Each Child Premium]]&gt;=_xlfn.MAXIFS(Table3[Each Child Premium],Table3[Main Member Link ID],Table3[[#This Row],[Main Member Link ID]]),"Yes",""))</f>
        <v/>
      </c>
      <c r="U5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policy]]&gt;1,J56=_xlfn.MINIFS(Table3[Age],Table3[Member Type],"Child",Table3[Main Member Link ID],Table3[[#This Row],[Main Member Link ID]],Table3[No. of Child with same Cover Amont under a policy],Table3[[#This Row],[No. of Child with same Cover Amont under a policy]])),1,0)),0)</f>
        <v>0</v>
      </c>
    </row>
    <row r="57" spans="2:21" x14ac:dyDescent="0.3">
      <c r="B57" s="173">
        <f>Members!B60</f>
        <v>0</v>
      </c>
      <c r="C57" s="174">
        <f>Members!E60</f>
        <v>0</v>
      </c>
      <c r="D57" s="174">
        <f>Members!F60</f>
        <v>0</v>
      </c>
      <c r="E57" s="174">
        <f>Members!G60</f>
        <v>0</v>
      </c>
      <c r="F57" s="72">
        <f>Members!H60</f>
        <v>0</v>
      </c>
      <c r="G57" s="71">
        <f>Members!I60</f>
        <v>0</v>
      </c>
      <c r="H57" s="71" t="str">
        <f>Members!J60</f>
        <v/>
      </c>
      <c r="I57" s="72">
        <f>Members!K60</f>
        <v>0</v>
      </c>
      <c r="J57" s="73">
        <f t="shared" si="1"/>
        <v>1</v>
      </c>
      <c r="K57" s="74">
        <f>IFERROR(IF(OR(B57=0,Table3[[#This Row],[Age]]=0,Table3[[#This Row],[Member Type]]="Beneficiary"),0,
IF(B57="Main Member",VLOOKUP(J57,Rate_MM,5),
IF(B57="Spouse",VLOOKUP(J57,Rate_SP,5),
IF(B57="Extended",VLOOKUP(J57,Rate_EXT,5),
IF(B57="Parent",VLOOKUP(J57,Rate_PAR,5),
IF(B57="Child",VLOOKUP(J57,Rate_CH,5))))))),0)</f>
        <v>0</v>
      </c>
      <c r="L57" s="74">
        <f>IFERROR(IF(OR(B57=0,Table3[[#This Row],[Age]]=0,Table3[[#This Row],[Member Type]]="Beneficiary"),0,
IF(B57="Main Member",VLOOKUP(J57,Rate_MM,4),
IF(B57="Spouse",VLOOKUP(J57,Rate_SP,4),
IF(B57="Extended",VLOOKUP(J57,Rate_EXT,4),
IF(B57="Parent",VLOOKUP(J57,Rate_PAR,4),
IF(B57="Child",VLOOKUP(J57,Rate_CH,4))))))),0)</f>
        <v>0</v>
      </c>
      <c r="M57" s="75">
        <f>Members!N60</f>
        <v>0</v>
      </c>
      <c r="N5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7" s="165">
        <f>IF(Table3[[#This Row],[Member Type]]="Child",COUNTIFS($B$3:$B$98,"Child",$C$3:$C$98,Table3[[#This Row],[Main Member Link ID]])-COUNTIFS($B58:$B$98,"Child",$C58:$C$98,Table3[[#This Row],[Main Member Link ID]]),
IF(Table3[[#This Row],[Member Type]]="Extended",COUNTIFS($B$3:$B$98,"Extended",$C$3:$C$98,Table3[[#This Row],[Main Member Link ID]])-COUNTIFS($B58:$B$98,"Extended",$C58:$C$98,Table3[[#This Row],[Main Member Link ID]]),
IF(Table3[[#This Row],[Member Type]]="Parent",COUNTIFS($B$3:$B$98,"Parent",$C$3:$C$98,Table3[[#This Row],[Main Member Link ID]])-COUNTIFS($B58:$B$98,"Parent",$C58:$C$98,Table3[[#This Row],[Main Member Link ID]]),
IF(Table3[[#This Row],[Member Type]]="Spouse",COUNTIFS($B$3:$B$98,"Spouse",$C$3:$C$98,Table3[[#This Row],[Main Member Link ID]])-COUNTIFS($B58:$B$98,"Spouse",$C58:$C$98,Table3[[#This Row],[Main Member Link ID]]),
IF(Table3[[#This Row],[Member Type]]="Main Member",COUNTIFS($B$3:$B$98,"Main Member",$C$3:$C$98,Table3[[#This Row],[Main Member Link ID]])-COUNTIFS($B58:$B$98,"Main Member",$C58:$C$98,Table3[[#This Row],[Main Member Link ID]]),
IF(Table3[[#This Row],[Member Type]]="Beneficiary",COUNTIFS($B$3:$B$98,"Beneficiary",$C$3:$C$98,Table3[[#This Row],[Main Member Link ID]])-COUNTIFS($B58:$B$98,"Beneficiary",$C58:$C$98,Table3[[#This Row],[Main Member Link ID]]),0))))))</f>
        <v>0</v>
      </c>
      <c r="Q5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7" s="166">
        <f>IF(Table3[[#This Row],[Member Type]]="Child",Table3[[#This Row],[Rate per 10,000]]/10000*Table3[[#This Row],[Cover Amount]],0)</f>
        <v>0</v>
      </c>
      <c r="S57" s="165">
        <f>IF(Table3[[#This Row],[Member Type]]="Child",COUNTIFS(Table3[Each Child Premium],Table3[[#This Row],[Each Child Premium]],Table3[Main Member Link ID],Table3[[#This Row],[Main Member Link ID]]),0)</f>
        <v>0</v>
      </c>
      <c r="T57" s="165" t="str">
        <f>IF(Table3[[#This Row],[No. of Child with same Cover Amont under a policy]]=0,"",IF(Table3[[#This Row],[Each Child Premium]]&gt;=_xlfn.MAXIFS(Table3[Each Child Premium],Table3[Main Member Link ID],Table3[[#This Row],[Main Member Link ID]]),"Yes",""))</f>
        <v/>
      </c>
      <c r="U5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policy]]&gt;1,J57=_xlfn.MINIFS(Table3[Age],Table3[Member Type],"Child",Table3[Main Member Link ID],Table3[[#This Row],[Main Member Link ID]],Table3[No. of Child with same Cover Amont under a policy],Table3[[#This Row],[No. of Child with same Cover Amont under a policy]])),1,0)),0)</f>
        <v>0</v>
      </c>
    </row>
    <row r="58" spans="2:21" x14ac:dyDescent="0.3">
      <c r="B58" s="173">
        <f>Members!B61</f>
        <v>0</v>
      </c>
      <c r="C58" s="174">
        <f>Members!E61</f>
        <v>0</v>
      </c>
      <c r="D58" s="174">
        <f>Members!F61</f>
        <v>0</v>
      </c>
      <c r="E58" s="174">
        <f>Members!G61</f>
        <v>0</v>
      </c>
      <c r="F58" s="72">
        <f>Members!H61</f>
        <v>0</v>
      </c>
      <c r="G58" s="71">
        <f>Members!I61</f>
        <v>0</v>
      </c>
      <c r="H58" s="71" t="str">
        <f>Members!J61</f>
        <v/>
      </c>
      <c r="I58" s="72">
        <f>Members!K61</f>
        <v>0</v>
      </c>
      <c r="J58" s="73">
        <f t="shared" si="1"/>
        <v>1</v>
      </c>
      <c r="K58" s="74">
        <f>IFERROR(IF(OR(B58=0,Table3[[#This Row],[Age]]=0,Table3[[#This Row],[Member Type]]="Beneficiary"),0,
IF(B58="Main Member",VLOOKUP(J58,Rate_MM,5),
IF(B58="Spouse",VLOOKUP(J58,Rate_SP,5),
IF(B58="Extended",VLOOKUP(J58,Rate_EXT,5),
IF(B58="Parent",VLOOKUP(J58,Rate_PAR,5),
IF(B58="Child",VLOOKUP(J58,Rate_CH,5))))))),0)</f>
        <v>0</v>
      </c>
      <c r="L58" s="74">
        <f>IFERROR(IF(OR(B58=0,Table3[[#This Row],[Age]]=0,Table3[[#This Row],[Member Type]]="Beneficiary"),0,
IF(B58="Main Member",VLOOKUP(J58,Rate_MM,4),
IF(B58="Spouse",VLOOKUP(J58,Rate_SP,4),
IF(B58="Extended",VLOOKUP(J58,Rate_EXT,4),
IF(B58="Parent",VLOOKUP(J58,Rate_PAR,4),
IF(B58="Child",VLOOKUP(J58,Rate_CH,4))))))),0)</f>
        <v>0</v>
      </c>
      <c r="M58" s="75">
        <f>Members!N61</f>
        <v>0</v>
      </c>
      <c r="N5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8" s="165">
        <f>IF(Table3[[#This Row],[Member Type]]="Child",COUNTIFS($B$3:$B$98,"Child",$C$3:$C$98,Table3[[#This Row],[Main Member Link ID]])-COUNTIFS($B59:$B$98,"Child",$C59:$C$98,Table3[[#This Row],[Main Member Link ID]]),
IF(Table3[[#This Row],[Member Type]]="Extended",COUNTIFS($B$3:$B$98,"Extended",$C$3:$C$98,Table3[[#This Row],[Main Member Link ID]])-COUNTIFS($B59:$B$98,"Extended",$C59:$C$98,Table3[[#This Row],[Main Member Link ID]]),
IF(Table3[[#This Row],[Member Type]]="Parent",COUNTIFS($B$3:$B$98,"Parent",$C$3:$C$98,Table3[[#This Row],[Main Member Link ID]])-COUNTIFS($B59:$B$98,"Parent",$C59:$C$98,Table3[[#This Row],[Main Member Link ID]]),
IF(Table3[[#This Row],[Member Type]]="Spouse",COUNTIFS($B$3:$B$98,"Spouse",$C$3:$C$98,Table3[[#This Row],[Main Member Link ID]])-COUNTIFS($B59:$B$98,"Spouse",$C59:$C$98,Table3[[#This Row],[Main Member Link ID]]),
IF(Table3[[#This Row],[Member Type]]="Main Member",COUNTIFS($B$3:$B$98,"Main Member",$C$3:$C$98,Table3[[#This Row],[Main Member Link ID]])-COUNTIFS($B59:$B$98,"Main Member",$C59:$C$98,Table3[[#This Row],[Main Member Link ID]]),
IF(Table3[[#This Row],[Member Type]]="Beneficiary",COUNTIFS($B$3:$B$98,"Beneficiary",$C$3:$C$98,Table3[[#This Row],[Main Member Link ID]])-COUNTIFS($B59:$B$98,"Beneficiary",$C59:$C$98,Table3[[#This Row],[Main Member Link ID]]),0))))))</f>
        <v>0</v>
      </c>
      <c r="Q5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8" s="166">
        <f>IF(Table3[[#This Row],[Member Type]]="Child",Table3[[#This Row],[Rate per 10,000]]/10000*Table3[[#This Row],[Cover Amount]],0)</f>
        <v>0</v>
      </c>
      <c r="S58" s="165">
        <f>IF(Table3[[#This Row],[Member Type]]="Child",COUNTIFS(Table3[Each Child Premium],Table3[[#This Row],[Each Child Premium]],Table3[Main Member Link ID],Table3[[#This Row],[Main Member Link ID]]),0)</f>
        <v>0</v>
      </c>
      <c r="T58" s="165" t="str">
        <f>IF(Table3[[#This Row],[No. of Child with same Cover Amont under a policy]]=0,"",IF(Table3[[#This Row],[Each Child Premium]]&gt;=_xlfn.MAXIFS(Table3[Each Child Premium],Table3[Main Member Link ID],Table3[[#This Row],[Main Member Link ID]]),"Yes",""))</f>
        <v/>
      </c>
      <c r="U5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policy]]&gt;1,J58=_xlfn.MINIFS(Table3[Age],Table3[Member Type],"Child",Table3[Main Member Link ID],Table3[[#This Row],[Main Member Link ID]],Table3[No. of Child with same Cover Amont under a policy],Table3[[#This Row],[No. of Child with same Cover Amont under a policy]])),1,0)),0)</f>
        <v>0</v>
      </c>
    </row>
    <row r="59" spans="2:21" x14ac:dyDescent="0.3">
      <c r="B59" s="173">
        <f>Members!B62</f>
        <v>0</v>
      </c>
      <c r="C59" s="174">
        <f>Members!E62</f>
        <v>0</v>
      </c>
      <c r="D59" s="174">
        <f>Members!F62</f>
        <v>0</v>
      </c>
      <c r="E59" s="174">
        <f>Members!G62</f>
        <v>0</v>
      </c>
      <c r="F59" s="72">
        <f>Members!H62</f>
        <v>0</v>
      </c>
      <c r="G59" s="71">
        <f>Members!I62</f>
        <v>0</v>
      </c>
      <c r="H59" s="71" t="str">
        <f>Members!J62</f>
        <v/>
      </c>
      <c r="I59" s="72">
        <f>Members!K62</f>
        <v>0</v>
      </c>
      <c r="J59" s="73">
        <f t="shared" si="1"/>
        <v>1</v>
      </c>
      <c r="K59" s="74">
        <f>IFERROR(IF(OR(B59=0,Table3[[#This Row],[Age]]=0,Table3[[#This Row],[Member Type]]="Beneficiary"),0,
IF(B59="Main Member",VLOOKUP(J59,Rate_MM,5),
IF(B59="Spouse",VLOOKUP(J59,Rate_SP,5),
IF(B59="Extended",VLOOKUP(J59,Rate_EXT,5),
IF(B59="Parent",VLOOKUP(J59,Rate_PAR,5),
IF(B59="Child",VLOOKUP(J59,Rate_CH,5))))))),0)</f>
        <v>0</v>
      </c>
      <c r="L59" s="74">
        <f>IFERROR(IF(OR(B59=0,Table3[[#This Row],[Age]]=0,Table3[[#This Row],[Member Type]]="Beneficiary"),0,
IF(B59="Main Member",VLOOKUP(J59,Rate_MM,4),
IF(B59="Spouse",VLOOKUP(J59,Rate_SP,4),
IF(B59="Extended",VLOOKUP(J59,Rate_EXT,4),
IF(B59="Parent",VLOOKUP(J59,Rate_PAR,4),
IF(B59="Child",VLOOKUP(J59,Rate_CH,4))))))),0)</f>
        <v>0</v>
      </c>
      <c r="M59" s="75">
        <f>Members!N62</f>
        <v>0</v>
      </c>
      <c r="N5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5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59" s="165">
        <f>IF(Table3[[#This Row],[Member Type]]="Child",COUNTIFS($B$3:$B$98,"Child",$C$3:$C$98,Table3[[#This Row],[Main Member Link ID]])-COUNTIFS($B60:$B$98,"Child",$C60:$C$98,Table3[[#This Row],[Main Member Link ID]]),
IF(Table3[[#This Row],[Member Type]]="Extended",COUNTIFS($B$3:$B$98,"Extended",$C$3:$C$98,Table3[[#This Row],[Main Member Link ID]])-COUNTIFS($B60:$B$98,"Extended",$C60:$C$98,Table3[[#This Row],[Main Member Link ID]]),
IF(Table3[[#This Row],[Member Type]]="Parent",COUNTIFS($B$3:$B$98,"Parent",$C$3:$C$98,Table3[[#This Row],[Main Member Link ID]])-COUNTIFS($B60:$B$98,"Parent",$C60:$C$98,Table3[[#This Row],[Main Member Link ID]]),
IF(Table3[[#This Row],[Member Type]]="Spouse",COUNTIFS($B$3:$B$98,"Spouse",$C$3:$C$98,Table3[[#This Row],[Main Member Link ID]])-COUNTIFS($B60:$B$98,"Spouse",$C60:$C$98,Table3[[#This Row],[Main Member Link ID]]),
IF(Table3[[#This Row],[Member Type]]="Main Member",COUNTIFS($B$3:$B$98,"Main Member",$C$3:$C$98,Table3[[#This Row],[Main Member Link ID]])-COUNTIFS($B60:$B$98,"Main Member",$C60:$C$98,Table3[[#This Row],[Main Member Link ID]]),
IF(Table3[[#This Row],[Member Type]]="Beneficiary",COUNTIFS($B$3:$B$98,"Beneficiary",$C$3:$C$98,Table3[[#This Row],[Main Member Link ID]])-COUNTIFS($B60:$B$98,"Beneficiary",$C60:$C$98,Table3[[#This Row],[Main Member Link ID]]),0))))))</f>
        <v>0</v>
      </c>
      <c r="Q5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59" s="166">
        <f>IF(Table3[[#This Row],[Member Type]]="Child",Table3[[#This Row],[Rate per 10,000]]/10000*Table3[[#This Row],[Cover Amount]],0)</f>
        <v>0</v>
      </c>
      <c r="S59" s="165">
        <f>IF(Table3[[#This Row],[Member Type]]="Child",COUNTIFS(Table3[Each Child Premium],Table3[[#This Row],[Each Child Premium]],Table3[Main Member Link ID],Table3[[#This Row],[Main Member Link ID]]),0)</f>
        <v>0</v>
      </c>
      <c r="T59" s="165" t="str">
        <f>IF(Table3[[#This Row],[No. of Child with same Cover Amont under a policy]]=0,"",IF(Table3[[#This Row],[Each Child Premium]]&gt;=_xlfn.MAXIFS(Table3[Each Child Premium],Table3[Main Member Link ID],Table3[[#This Row],[Main Member Link ID]]),"Yes",""))</f>
        <v/>
      </c>
      <c r="U5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policy]]&gt;1,J59=_xlfn.MINIFS(Table3[Age],Table3[Member Type],"Child",Table3[Main Member Link ID],Table3[[#This Row],[Main Member Link ID]],Table3[No. of Child with same Cover Amont under a policy],Table3[[#This Row],[No. of Child with same Cover Amont under a policy]])),1,0)),0)</f>
        <v>0</v>
      </c>
    </row>
    <row r="60" spans="2:21" x14ac:dyDescent="0.3">
      <c r="B60" s="173">
        <f>Members!B63</f>
        <v>0</v>
      </c>
      <c r="C60" s="174">
        <f>Members!E63</f>
        <v>0</v>
      </c>
      <c r="D60" s="174">
        <f>Members!F63</f>
        <v>0</v>
      </c>
      <c r="E60" s="174">
        <f>Members!G63</f>
        <v>0</v>
      </c>
      <c r="F60" s="72">
        <f>Members!H63</f>
        <v>0</v>
      </c>
      <c r="G60" s="71">
        <f>Members!I63</f>
        <v>0</v>
      </c>
      <c r="H60" s="71" t="str">
        <f>Members!J63</f>
        <v/>
      </c>
      <c r="I60" s="72">
        <f>Members!K63</f>
        <v>0</v>
      </c>
      <c r="J60" s="73">
        <f t="shared" si="1"/>
        <v>1</v>
      </c>
      <c r="K60" s="74">
        <f>IFERROR(IF(OR(B60=0,Table3[[#This Row],[Age]]=0,Table3[[#This Row],[Member Type]]="Beneficiary"),0,
IF(B60="Main Member",VLOOKUP(J60,Rate_MM,5),
IF(B60="Spouse",VLOOKUP(J60,Rate_SP,5),
IF(B60="Extended",VLOOKUP(J60,Rate_EXT,5),
IF(B60="Parent",VLOOKUP(J60,Rate_PAR,5),
IF(B60="Child",VLOOKUP(J60,Rate_CH,5))))))),0)</f>
        <v>0</v>
      </c>
      <c r="L60" s="74">
        <f>IFERROR(IF(OR(B60=0,Table3[[#This Row],[Age]]=0,Table3[[#This Row],[Member Type]]="Beneficiary"),0,
IF(B60="Main Member",VLOOKUP(J60,Rate_MM,4),
IF(B60="Spouse",VLOOKUP(J60,Rate_SP,4),
IF(B60="Extended",VLOOKUP(J60,Rate_EXT,4),
IF(B60="Parent",VLOOKUP(J60,Rate_PAR,4),
IF(B60="Child",VLOOKUP(J60,Rate_CH,4))))))),0)</f>
        <v>0</v>
      </c>
      <c r="M60" s="75">
        <f>Members!N63</f>
        <v>0</v>
      </c>
      <c r="N6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0" s="165">
        <f>IF(Table3[[#This Row],[Member Type]]="Child",COUNTIFS($B$3:$B$98,"Child",$C$3:$C$98,Table3[[#This Row],[Main Member Link ID]])-COUNTIFS($B61:$B$98,"Child",$C61:$C$98,Table3[[#This Row],[Main Member Link ID]]),
IF(Table3[[#This Row],[Member Type]]="Extended",COUNTIFS($B$3:$B$98,"Extended",$C$3:$C$98,Table3[[#This Row],[Main Member Link ID]])-COUNTIFS($B61:$B$98,"Extended",$C61:$C$98,Table3[[#This Row],[Main Member Link ID]]),
IF(Table3[[#This Row],[Member Type]]="Parent",COUNTIFS($B$3:$B$98,"Parent",$C$3:$C$98,Table3[[#This Row],[Main Member Link ID]])-COUNTIFS($B61:$B$98,"Parent",$C61:$C$98,Table3[[#This Row],[Main Member Link ID]]),
IF(Table3[[#This Row],[Member Type]]="Spouse",COUNTIFS($B$3:$B$98,"Spouse",$C$3:$C$98,Table3[[#This Row],[Main Member Link ID]])-COUNTIFS($B61:$B$98,"Spouse",$C61:$C$98,Table3[[#This Row],[Main Member Link ID]]),
IF(Table3[[#This Row],[Member Type]]="Main Member",COUNTIFS($B$3:$B$98,"Main Member",$C$3:$C$98,Table3[[#This Row],[Main Member Link ID]])-COUNTIFS($B61:$B$98,"Main Member",$C61:$C$98,Table3[[#This Row],[Main Member Link ID]]),
IF(Table3[[#This Row],[Member Type]]="Beneficiary",COUNTIFS($B$3:$B$98,"Beneficiary",$C$3:$C$98,Table3[[#This Row],[Main Member Link ID]])-COUNTIFS($B61:$B$98,"Beneficiary",$C61:$C$98,Table3[[#This Row],[Main Member Link ID]]),0))))))</f>
        <v>0</v>
      </c>
      <c r="Q6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0" s="166">
        <f>IF(Table3[[#This Row],[Member Type]]="Child",Table3[[#This Row],[Rate per 10,000]]/10000*Table3[[#This Row],[Cover Amount]],0)</f>
        <v>0</v>
      </c>
      <c r="S60" s="165">
        <f>IF(Table3[[#This Row],[Member Type]]="Child",COUNTIFS(Table3[Each Child Premium],Table3[[#This Row],[Each Child Premium]],Table3[Main Member Link ID],Table3[[#This Row],[Main Member Link ID]]),0)</f>
        <v>0</v>
      </c>
      <c r="T60" s="165" t="str">
        <f>IF(Table3[[#This Row],[No. of Child with same Cover Amont under a policy]]=0,"",IF(Table3[[#This Row],[Each Child Premium]]&gt;=_xlfn.MAXIFS(Table3[Each Child Premium],Table3[Main Member Link ID],Table3[[#This Row],[Main Member Link ID]]),"Yes",""))</f>
        <v/>
      </c>
      <c r="U6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policy]]&gt;1,J60=_xlfn.MINIFS(Table3[Age],Table3[Member Type],"Child",Table3[Main Member Link ID],Table3[[#This Row],[Main Member Link ID]],Table3[No. of Child with same Cover Amont under a policy],Table3[[#This Row],[No. of Child with same Cover Amont under a policy]])),1,0)),0)</f>
        <v>0</v>
      </c>
    </row>
    <row r="61" spans="2:21" x14ac:dyDescent="0.3">
      <c r="B61" s="173">
        <f>Members!B64</f>
        <v>0</v>
      </c>
      <c r="C61" s="174">
        <f>Members!E64</f>
        <v>0</v>
      </c>
      <c r="D61" s="174">
        <f>Members!F64</f>
        <v>0</v>
      </c>
      <c r="E61" s="174">
        <f>Members!G64</f>
        <v>0</v>
      </c>
      <c r="F61" s="72">
        <f>Members!H64</f>
        <v>0</v>
      </c>
      <c r="G61" s="71">
        <f>Members!I64</f>
        <v>0</v>
      </c>
      <c r="H61" s="71" t="str">
        <f>Members!J64</f>
        <v/>
      </c>
      <c r="I61" s="72">
        <f>Members!K64</f>
        <v>0</v>
      </c>
      <c r="J61" s="73">
        <f t="shared" si="1"/>
        <v>1</v>
      </c>
      <c r="K61" s="74">
        <f>IFERROR(IF(OR(B61=0,Table3[[#This Row],[Age]]=0,Table3[[#This Row],[Member Type]]="Beneficiary"),0,
IF(B61="Main Member",VLOOKUP(J61,Rate_MM,5),
IF(B61="Spouse",VLOOKUP(J61,Rate_SP,5),
IF(B61="Extended",VLOOKUP(J61,Rate_EXT,5),
IF(B61="Parent",VLOOKUP(J61,Rate_PAR,5),
IF(B61="Child",VLOOKUP(J61,Rate_CH,5))))))),0)</f>
        <v>0</v>
      </c>
      <c r="L61" s="74">
        <f>IFERROR(IF(OR(B61=0,Table3[[#This Row],[Age]]=0,Table3[[#This Row],[Member Type]]="Beneficiary"),0,
IF(B61="Main Member",VLOOKUP(J61,Rate_MM,4),
IF(B61="Spouse",VLOOKUP(J61,Rate_SP,4),
IF(B61="Extended",VLOOKUP(J61,Rate_EXT,4),
IF(B61="Parent",VLOOKUP(J61,Rate_PAR,4),
IF(B61="Child",VLOOKUP(J61,Rate_CH,4))))))),0)</f>
        <v>0</v>
      </c>
      <c r="M61" s="75">
        <f>Members!N64</f>
        <v>0</v>
      </c>
      <c r="N6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1" s="165">
        <f>IF(Table3[[#This Row],[Member Type]]="Child",COUNTIFS($B$3:$B$98,"Child",$C$3:$C$98,Table3[[#This Row],[Main Member Link ID]])-COUNTIFS($B62:$B$98,"Child",$C62:$C$98,Table3[[#This Row],[Main Member Link ID]]),
IF(Table3[[#This Row],[Member Type]]="Extended",COUNTIFS($B$3:$B$98,"Extended",$C$3:$C$98,Table3[[#This Row],[Main Member Link ID]])-COUNTIFS($B62:$B$98,"Extended",$C62:$C$98,Table3[[#This Row],[Main Member Link ID]]),
IF(Table3[[#This Row],[Member Type]]="Parent",COUNTIFS($B$3:$B$98,"Parent",$C$3:$C$98,Table3[[#This Row],[Main Member Link ID]])-COUNTIFS($B62:$B$98,"Parent",$C62:$C$98,Table3[[#This Row],[Main Member Link ID]]),
IF(Table3[[#This Row],[Member Type]]="Spouse",COUNTIFS($B$3:$B$98,"Spouse",$C$3:$C$98,Table3[[#This Row],[Main Member Link ID]])-COUNTIFS($B62:$B$98,"Spouse",$C62:$C$98,Table3[[#This Row],[Main Member Link ID]]),
IF(Table3[[#This Row],[Member Type]]="Main Member",COUNTIFS($B$3:$B$98,"Main Member",$C$3:$C$98,Table3[[#This Row],[Main Member Link ID]])-COUNTIFS($B62:$B$98,"Main Member",$C62:$C$98,Table3[[#This Row],[Main Member Link ID]]),
IF(Table3[[#This Row],[Member Type]]="Beneficiary",COUNTIFS($B$3:$B$98,"Beneficiary",$C$3:$C$98,Table3[[#This Row],[Main Member Link ID]])-COUNTIFS($B62:$B$98,"Beneficiary",$C62:$C$98,Table3[[#This Row],[Main Member Link ID]]),0))))))</f>
        <v>0</v>
      </c>
      <c r="Q6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1" s="166">
        <f>IF(Table3[[#This Row],[Member Type]]="Child",Table3[[#This Row],[Rate per 10,000]]/10000*Table3[[#This Row],[Cover Amount]],0)</f>
        <v>0</v>
      </c>
      <c r="S61" s="165">
        <f>IF(Table3[[#This Row],[Member Type]]="Child",COUNTIFS(Table3[Each Child Premium],Table3[[#This Row],[Each Child Premium]],Table3[Main Member Link ID],Table3[[#This Row],[Main Member Link ID]]),0)</f>
        <v>0</v>
      </c>
      <c r="T61" s="165" t="str">
        <f>IF(Table3[[#This Row],[No. of Child with same Cover Amont under a policy]]=0,"",IF(Table3[[#This Row],[Each Child Premium]]&gt;=_xlfn.MAXIFS(Table3[Each Child Premium],Table3[Main Member Link ID],Table3[[#This Row],[Main Member Link ID]]),"Yes",""))</f>
        <v/>
      </c>
      <c r="U6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policy]]&gt;1,J61=_xlfn.MINIFS(Table3[Age],Table3[Member Type],"Child",Table3[Main Member Link ID],Table3[[#This Row],[Main Member Link ID]],Table3[No. of Child with same Cover Amont under a policy],Table3[[#This Row],[No. of Child with same Cover Amont under a policy]])),1,0)),0)</f>
        <v>0</v>
      </c>
    </row>
    <row r="62" spans="2:21" x14ac:dyDescent="0.3">
      <c r="B62" s="173">
        <f>Members!B65</f>
        <v>0</v>
      </c>
      <c r="C62" s="174">
        <f>Members!E65</f>
        <v>0</v>
      </c>
      <c r="D62" s="174">
        <f>Members!F65</f>
        <v>0</v>
      </c>
      <c r="E62" s="174">
        <f>Members!G65</f>
        <v>0</v>
      </c>
      <c r="F62" s="72">
        <f>Members!H65</f>
        <v>0</v>
      </c>
      <c r="G62" s="71">
        <f>Members!I65</f>
        <v>0</v>
      </c>
      <c r="H62" s="71" t="str">
        <f>Members!J65</f>
        <v/>
      </c>
      <c r="I62" s="72">
        <f>Members!K65</f>
        <v>0</v>
      </c>
      <c r="J62" s="73">
        <f t="shared" si="1"/>
        <v>1</v>
      </c>
      <c r="K62" s="74">
        <f>IFERROR(IF(OR(B62=0,Table3[[#This Row],[Age]]=0,Table3[[#This Row],[Member Type]]="Beneficiary"),0,
IF(B62="Main Member",VLOOKUP(J62,Rate_MM,5),
IF(B62="Spouse",VLOOKUP(J62,Rate_SP,5),
IF(B62="Extended",VLOOKUP(J62,Rate_EXT,5),
IF(B62="Parent",VLOOKUP(J62,Rate_PAR,5),
IF(B62="Child",VLOOKUP(J62,Rate_CH,5))))))),0)</f>
        <v>0</v>
      </c>
      <c r="L62" s="74">
        <f>IFERROR(IF(OR(B62=0,Table3[[#This Row],[Age]]=0,Table3[[#This Row],[Member Type]]="Beneficiary"),0,
IF(B62="Main Member",VLOOKUP(J62,Rate_MM,4),
IF(B62="Spouse",VLOOKUP(J62,Rate_SP,4),
IF(B62="Extended",VLOOKUP(J62,Rate_EXT,4),
IF(B62="Parent",VLOOKUP(J62,Rate_PAR,4),
IF(B62="Child",VLOOKUP(J62,Rate_CH,4))))))),0)</f>
        <v>0</v>
      </c>
      <c r="M62" s="75">
        <f>Members!N65</f>
        <v>0</v>
      </c>
      <c r="N6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2" s="165">
        <f>IF(Table3[[#This Row],[Member Type]]="Child",COUNTIFS($B$3:$B$98,"Child",$C$3:$C$98,Table3[[#This Row],[Main Member Link ID]])-COUNTIFS($B63:$B$98,"Child",$C63:$C$98,Table3[[#This Row],[Main Member Link ID]]),
IF(Table3[[#This Row],[Member Type]]="Extended",COUNTIFS($B$3:$B$98,"Extended",$C$3:$C$98,Table3[[#This Row],[Main Member Link ID]])-COUNTIFS($B63:$B$98,"Extended",$C63:$C$98,Table3[[#This Row],[Main Member Link ID]]),
IF(Table3[[#This Row],[Member Type]]="Parent",COUNTIFS($B$3:$B$98,"Parent",$C$3:$C$98,Table3[[#This Row],[Main Member Link ID]])-COUNTIFS($B63:$B$98,"Parent",$C63:$C$98,Table3[[#This Row],[Main Member Link ID]]),
IF(Table3[[#This Row],[Member Type]]="Spouse",COUNTIFS($B$3:$B$98,"Spouse",$C$3:$C$98,Table3[[#This Row],[Main Member Link ID]])-COUNTIFS($B63:$B$98,"Spouse",$C63:$C$98,Table3[[#This Row],[Main Member Link ID]]),
IF(Table3[[#This Row],[Member Type]]="Main Member",COUNTIFS($B$3:$B$98,"Main Member",$C$3:$C$98,Table3[[#This Row],[Main Member Link ID]])-COUNTIFS($B63:$B$98,"Main Member",$C63:$C$98,Table3[[#This Row],[Main Member Link ID]]),
IF(Table3[[#This Row],[Member Type]]="Beneficiary",COUNTIFS($B$3:$B$98,"Beneficiary",$C$3:$C$98,Table3[[#This Row],[Main Member Link ID]])-COUNTIFS($B63:$B$98,"Beneficiary",$C63:$C$98,Table3[[#This Row],[Main Member Link ID]]),0))))))</f>
        <v>0</v>
      </c>
      <c r="Q6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2" s="166">
        <f>IF(Table3[[#This Row],[Member Type]]="Child",Table3[[#This Row],[Rate per 10,000]]/10000*Table3[[#This Row],[Cover Amount]],0)</f>
        <v>0</v>
      </c>
      <c r="S62" s="165">
        <f>IF(Table3[[#This Row],[Member Type]]="Child",COUNTIFS(Table3[Each Child Premium],Table3[[#This Row],[Each Child Premium]],Table3[Main Member Link ID],Table3[[#This Row],[Main Member Link ID]]),0)</f>
        <v>0</v>
      </c>
      <c r="T62" s="165" t="str">
        <f>IF(Table3[[#This Row],[No. of Child with same Cover Amont under a policy]]=0,"",IF(Table3[[#This Row],[Each Child Premium]]&gt;=_xlfn.MAXIFS(Table3[Each Child Premium],Table3[Main Member Link ID],Table3[[#This Row],[Main Member Link ID]]),"Yes",""))</f>
        <v/>
      </c>
      <c r="U6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policy]]&gt;1,J62=_xlfn.MINIFS(Table3[Age],Table3[Member Type],"Child",Table3[Main Member Link ID],Table3[[#This Row],[Main Member Link ID]],Table3[No. of Child with same Cover Amont under a policy],Table3[[#This Row],[No. of Child with same Cover Amont under a policy]])),1,0)),0)</f>
        <v>0</v>
      </c>
    </row>
    <row r="63" spans="2:21" x14ac:dyDescent="0.3">
      <c r="B63" s="173">
        <f>Members!B66</f>
        <v>0</v>
      </c>
      <c r="C63" s="174">
        <f>Members!E66</f>
        <v>0</v>
      </c>
      <c r="D63" s="174">
        <f>Members!F66</f>
        <v>0</v>
      </c>
      <c r="E63" s="174">
        <f>Members!G66</f>
        <v>0</v>
      </c>
      <c r="F63" s="72">
        <f>Members!H66</f>
        <v>0</v>
      </c>
      <c r="G63" s="71">
        <f>Members!I66</f>
        <v>0</v>
      </c>
      <c r="H63" s="71" t="str">
        <f>Members!J66</f>
        <v/>
      </c>
      <c r="I63" s="72">
        <f>Members!K66</f>
        <v>0</v>
      </c>
      <c r="J63" s="73">
        <f t="shared" si="1"/>
        <v>1</v>
      </c>
      <c r="K63" s="74">
        <f>IFERROR(IF(OR(B63=0,Table3[[#This Row],[Age]]=0,Table3[[#This Row],[Member Type]]="Beneficiary"),0,
IF(B63="Main Member",VLOOKUP(J63,Rate_MM,5),
IF(B63="Spouse",VLOOKUP(J63,Rate_SP,5),
IF(B63="Extended",VLOOKUP(J63,Rate_EXT,5),
IF(B63="Parent",VLOOKUP(J63,Rate_PAR,5),
IF(B63="Child",VLOOKUP(J63,Rate_CH,5))))))),0)</f>
        <v>0</v>
      </c>
      <c r="L63" s="74">
        <f>IFERROR(IF(OR(B63=0,Table3[[#This Row],[Age]]=0,Table3[[#This Row],[Member Type]]="Beneficiary"),0,
IF(B63="Main Member",VLOOKUP(J63,Rate_MM,4),
IF(B63="Spouse",VLOOKUP(J63,Rate_SP,4),
IF(B63="Extended",VLOOKUP(J63,Rate_EXT,4),
IF(B63="Parent",VLOOKUP(J63,Rate_PAR,4),
IF(B63="Child",VLOOKUP(J63,Rate_CH,4))))))),0)</f>
        <v>0</v>
      </c>
      <c r="M63" s="75">
        <f>Members!N66</f>
        <v>0</v>
      </c>
      <c r="N6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3" s="165">
        <f>IF(Table3[[#This Row],[Member Type]]="Child",COUNTIFS($B$3:$B$98,"Child",$C$3:$C$98,Table3[[#This Row],[Main Member Link ID]])-COUNTIFS($B64:$B$98,"Child",$C64:$C$98,Table3[[#This Row],[Main Member Link ID]]),
IF(Table3[[#This Row],[Member Type]]="Extended",COUNTIFS($B$3:$B$98,"Extended",$C$3:$C$98,Table3[[#This Row],[Main Member Link ID]])-COUNTIFS($B64:$B$98,"Extended",$C64:$C$98,Table3[[#This Row],[Main Member Link ID]]),
IF(Table3[[#This Row],[Member Type]]="Parent",COUNTIFS($B$3:$B$98,"Parent",$C$3:$C$98,Table3[[#This Row],[Main Member Link ID]])-COUNTIFS($B64:$B$98,"Parent",$C64:$C$98,Table3[[#This Row],[Main Member Link ID]]),
IF(Table3[[#This Row],[Member Type]]="Spouse",COUNTIFS($B$3:$B$98,"Spouse",$C$3:$C$98,Table3[[#This Row],[Main Member Link ID]])-COUNTIFS($B64:$B$98,"Spouse",$C64:$C$98,Table3[[#This Row],[Main Member Link ID]]),
IF(Table3[[#This Row],[Member Type]]="Main Member",COUNTIFS($B$3:$B$98,"Main Member",$C$3:$C$98,Table3[[#This Row],[Main Member Link ID]])-COUNTIFS($B64:$B$98,"Main Member",$C64:$C$98,Table3[[#This Row],[Main Member Link ID]]),
IF(Table3[[#This Row],[Member Type]]="Beneficiary",COUNTIFS($B$3:$B$98,"Beneficiary",$C$3:$C$98,Table3[[#This Row],[Main Member Link ID]])-COUNTIFS($B64:$B$98,"Beneficiary",$C64:$C$98,Table3[[#This Row],[Main Member Link ID]]),0))))))</f>
        <v>0</v>
      </c>
      <c r="Q6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3" s="166">
        <f>IF(Table3[[#This Row],[Member Type]]="Child",Table3[[#This Row],[Rate per 10,000]]/10000*Table3[[#This Row],[Cover Amount]],0)</f>
        <v>0</v>
      </c>
      <c r="S63" s="165">
        <f>IF(Table3[[#This Row],[Member Type]]="Child",COUNTIFS(Table3[Each Child Premium],Table3[[#This Row],[Each Child Premium]],Table3[Main Member Link ID],Table3[[#This Row],[Main Member Link ID]]),0)</f>
        <v>0</v>
      </c>
      <c r="T63" s="165" t="str">
        <f>IF(Table3[[#This Row],[No. of Child with same Cover Amont under a policy]]=0,"",IF(Table3[[#This Row],[Each Child Premium]]&gt;=_xlfn.MAXIFS(Table3[Each Child Premium],Table3[Main Member Link ID],Table3[[#This Row],[Main Member Link ID]]),"Yes",""))</f>
        <v/>
      </c>
      <c r="U6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policy]]&gt;1,J63=_xlfn.MINIFS(Table3[Age],Table3[Member Type],"Child",Table3[Main Member Link ID],Table3[[#This Row],[Main Member Link ID]],Table3[No. of Child with same Cover Amont under a policy],Table3[[#This Row],[No. of Child with same Cover Amont under a policy]])),1,0)),0)</f>
        <v>0</v>
      </c>
    </row>
    <row r="64" spans="2:21" x14ac:dyDescent="0.3">
      <c r="B64" s="173">
        <f>Members!B67</f>
        <v>0</v>
      </c>
      <c r="C64" s="174">
        <f>Members!E67</f>
        <v>0</v>
      </c>
      <c r="D64" s="174">
        <f>Members!F67</f>
        <v>0</v>
      </c>
      <c r="E64" s="174">
        <f>Members!G67</f>
        <v>0</v>
      </c>
      <c r="F64" s="72">
        <f>Members!H67</f>
        <v>0</v>
      </c>
      <c r="G64" s="71">
        <f>Members!I67</f>
        <v>0</v>
      </c>
      <c r="H64" s="71" t="str">
        <f>Members!J67</f>
        <v/>
      </c>
      <c r="I64" s="72">
        <f>Members!K67</f>
        <v>0</v>
      </c>
      <c r="J64" s="73">
        <f t="shared" si="1"/>
        <v>1</v>
      </c>
      <c r="K64" s="74">
        <f>IFERROR(IF(OR(B64=0,Table3[[#This Row],[Age]]=0,Table3[[#This Row],[Member Type]]="Beneficiary"),0,
IF(B64="Main Member",VLOOKUP(J64,Rate_MM,5),
IF(B64="Spouse",VLOOKUP(J64,Rate_SP,5),
IF(B64="Extended",VLOOKUP(J64,Rate_EXT,5),
IF(B64="Parent",VLOOKUP(J64,Rate_PAR,5),
IF(B64="Child",VLOOKUP(J64,Rate_CH,5))))))),0)</f>
        <v>0</v>
      </c>
      <c r="L64" s="74">
        <f>IFERROR(IF(OR(B64=0,Table3[[#This Row],[Age]]=0,Table3[[#This Row],[Member Type]]="Beneficiary"),0,
IF(B64="Main Member",VLOOKUP(J64,Rate_MM,4),
IF(B64="Spouse",VLOOKUP(J64,Rate_SP,4),
IF(B64="Extended",VLOOKUP(J64,Rate_EXT,4),
IF(B64="Parent",VLOOKUP(J64,Rate_PAR,4),
IF(B64="Child",VLOOKUP(J64,Rate_CH,4))))))),0)</f>
        <v>0</v>
      </c>
      <c r="M64" s="75">
        <f>Members!N67</f>
        <v>0</v>
      </c>
      <c r="N6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4" s="165">
        <f>IF(Table3[[#This Row],[Member Type]]="Child",COUNTIFS($B$3:$B$98,"Child",$C$3:$C$98,Table3[[#This Row],[Main Member Link ID]])-COUNTIFS($B65:$B$98,"Child",$C65:$C$98,Table3[[#This Row],[Main Member Link ID]]),
IF(Table3[[#This Row],[Member Type]]="Extended",COUNTIFS($B$3:$B$98,"Extended",$C$3:$C$98,Table3[[#This Row],[Main Member Link ID]])-COUNTIFS($B65:$B$98,"Extended",$C65:$C$98,Table3[[#This Row],[Main Member Link ID]]),
IF(Table3[[#This Row],[Member Type]]="Parent",COUNTIFS($B$3:$B$98,"Parent",$C$3:$C$98,Table3[[#This Row],[Main Member Link ID]])-COUNTIFS($B65:$B$98,"Parent",$C65:$C$98,Table3[[#This Row],[Main Member Link ID]]),
IF(Table3[[#This Row],[Member Type]]="Spouse",COUNTIFS($B$3:$B$98,"Spouse",$C$3:$C$98,Table3[[#This Row],[Main Member Link ID]])-COUNTIFS($B65:$B$98,"Spouse",$C65:$C$98,Table3[[#This Row],[Main Member Link ID]]),
IF(Table3[[#This Row],[Member Type]]="Main Member",COUNTIFS($B$3:$B$98,"Main Member",$C$3:$C$98,Table3[[#This Row],[Main Member Link ID]])-COUNTIFS($B65:$B$98,"Main Member",$C65:$C$98,Table3[[#This Row],[Main Member Link ID]]),
IF(Table3[[#This Row],[Member Type]]="Beneficiary",COUNTIFS($B$3:$B$98,"Beneficiary",$C$3:$C$98,Table3[[#This Row],[Main Member Link ID]])-COUNTIFS($B65:$B$98,"Beneficiary",$C65:$C$98,Table3[[#This Row],[Main Member Link ID]]),0))))))</f>
        <v>0</v>
      </c>
      <c r="Q6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4" s="166">
        <f>IF(Table3[[#This Row],[Member Type]]="Child",Table3[[#This Row],[Rate per 10,000]]/10000*Table3[[#This Row],[Cover Amount]],0)</f>
        <v>0</v>
      </c>
      <c r="S64" s="165">
        <f>IF(Table3[[#This Row],[Member Type]]="Child",COUNTIFS(Table3[Each Child Premium],Table3[[#This Row],[Each Child Premium]],Table3[Main Member Link ID],Table3[[#This Row],[Main Member Link ID]]),0)</f>
        <v>0</v>
      </c>
      <c r="T64" s="165" t="str">
        <f>IF(Table3[[#This Row],[No. of Child with same Cover Amont under a policy]]=0,"",IF(Table3[[#This Row],[Each Child Premium]]&gt;=_xlfn.MAXIFS(Table3[Each Child Premium],Table3[Main Member Link ID],Table3[[#This Row],[Main Member Link ID]]),"Yes",""))</f>
        <v/>
      </c>
      <c r="U6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policy]]&gt;1,J64=_xlfn.MINIFS(Table3[Age],Table3[Member Type],"Child",Table3[Main Member Link ID],Table3[[#This Row],[Main Member Link ID]],Table3[No. of Child with same Cover Amont under a policy],Table3[[#This Row],[No. of Child with same Cover Amont under a policy]])),1,0)),0)</f>
        <v>0</v>
      </c>
    </row>
    <row r="65" spans="2:21" x14ac:dyDescent="0.3">
      <c r="B65" s="173">
        <f>Members!B68</f>
        <v>0</v>
      </c>
      <c r="C65" s="174">
        <f>Members!E68</f>
        <v>0</v>
      </c>
      <c r="D65" s="174">
        <f>Members!F68</f>
        <v>0</v>
      </c>
      <c r="E65" s="174">
        <f>Members!G68</f>
        <v>0</v>
      </c>
      <c r="F65" s="72">
        <f>Members!H68</f>
        <v>0</v>
      </c>
      <c r="G65" s="71">
        <f>Members!I68</f>
        <v>0</v>
      </c>
      <c r="H65" s="71" t="str">
        <f>Members!J68</f>
        <v/>
      </c>
      <c r="I65" s="72">
        <f>Members!K68</f>
        <v>0</v>
      </c>
      <c r="J65" s="73">
        <f t="shared" si="1"/>
        <v>1</v>
      </c>
      <c r="K65" s="74">
        <f>IFERROR(IF(OR(B65=0,Table3[[#This Row],[Age]]=0,Table3[[#This Row],[Member Type]]="Beneficiary"),0,
IF(B65="Main Member",VLOOKUP(J65,Rate_MM,5),
IF(B65="Spouse",VLOOKUP(J65,Rate_SP,5),
IF(B65="Extended",VLOOKUP(J65,Rate_EXT,5),
IF(B65="Parent",VLOOKUP(J65,Rate_PAR,5),
IF(B65="Child",VLOOKUP(J65,Rate_CH,5))))))),0)</f>
        <v>0</v>
      </c>
      <c r="L65" s="74">
        <f>IFERROR(IF(OR(B65=0,Table3[[#This Row],[Age]]=0,Table3[[#This Row],[Member Type]]="Beneficiary"),0,
IF(B65="Main Member",VLOOKUP(J65,Rate_MM,4),
IF(B65="Spouse",VLOOKUP(J65,Rate_SP,4),
IF(B65="Extended",VLOOKUP(J65,Rate_EXT,4),
IF(B65="Parent",VLOOKUP(J65,Rate_PAR,4),
IF(B65="Child",VLOOKUP(J65,Rate_CH,4))))))),0)</f>
        <v>0</v>
      </c>
      <c r="M65" s="75">
        <f>Members!N68</f>
        <v>0</v>
      </c>
      <c r="N6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5" s="165">
        <f>IF(Table3[[#This Row],[Member Type]]="Child",COUNTIFS($B$3:$B$98,"Child",$C$3:$C$98,Table3[[#This Row],[Main Member Link ID]])-COUNTIFS($B66:$B$98,"Child",$C66:$C$98,Table3[[#This Row],[Main Member Link ID]]),
IF(Table3[[#This Row],[Member Type]]="Extended",COUNTIFS($B$3:$B$98,"Extended",$C$3:$C$98,Table3[[#This Row],[Main Member Link ID]])-COUNTIFS($B66:$B$98,"Extended",$C66:$C$98,Table3[[#This Row],[Main Member Link ID]]),
IF(Table3[[#This Row],[Member Type]]="Parent",COUNTIFS($B$3:$B$98,"Parent",$C$3:$C$98,Table3[[#This Row],[Main Member Link ID]])-COUNTIFS($B66:$B$98,"Parent",$C66:$C$98,Table3[[#This Row],[Main Member Link ID]]),
IF(Table3[[#This Row],[Member Type]]="Spouse",COUNTIFS($B$3:$B$98,"Spouse",$C$3:$C$98,Table3[[#This Row],[Main Member Link ID]])-COUNTIFS($B66:$B$98,"Spouse",$C66:$C$98,Table3[[#This Row],[Main Member Link ID]]),
IF(Table3[[#This Row],[Member Type]]="Main Member",COUNTIFS($B$3:$B$98,"Main Member",$C$3:$C$98,Table3[[#This Row],[Main Member Link ID]])-COUNTIFS($B66:$B$98,"Main Member",$C66:$C$98,Table3[[#This Row],[Main Member Link ID]]),
IF(Table3[[#This Row],[Member Type]]="Beneficiary",COUNTIFS($B$3:$B$98,"Beneficiary",$C$3:$C$98,Table3[[#This Row],[Main Member Link ID]])-COUNTIFS($B66:$B$98,"Beneficiary",$C66:$C$98,Table3[[#This Row],[Main Member Link ID]]),0))))))</f>
        <v>0</v>
      </c>
      <c r="Q6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5" s="166">
        <f>IF(Table3[[#This Row],[Member Type]]="Child",Table3[[#This Row],[Rate per 10,000]]/10000*Table3[[#This Row],[Cover Amount]],0)</f>
        <v>0</v>
      </c>
      <c r="S65" s="165">
        <f>IF(Table3[[#This Row],[Member Type]]="Child",COUNTIFS(Table3[Each Child Premium],Table3[[#This Row],[Each Child Premium]],Table3[Main Member Link ID],Table3[[#This Row],[Main Member Link ID]]),0)</f>
        <v>0</v>
      </c>
      <c r="T65" s="165" t="str">
        <f>IF(Table3[[#This Row],[No. of Child with same Cover Amont under a policy]]=0,"",IF(Table3[[#This Row],[Each Child Premium]]&gt;=_xlfn.MAXIFS(Table3[Each Child Premium],Table3[Main Member Link ID],Table3[[#This Row],[Main Member Link ID]]),"Yes",""))</f>
        <v/>
      </c>
      <c r="U6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policy]]&gt;1,J65=_xlfn.MINIFS(Table3[Age],Table3[Member Type],"Child",Table3[Main Member Link ID],Table3[[#This Row],[Main Member Link ID]],Table3[No. of Child with same Cover Amont under a policy],Table3[[#This Row],[No. of Child with same Cover Amont under a policy]])),1,0)),0)</f>
        <v>0</v>
      </c>
    </row>
    <row r="66" spans="2:21" x14ac:dyDescent="0.3">
      <c r="B66" s="173">
        <f>Members!B69</f>
        <v>0</v>
      </c>
      <c r="C66" s="174">
        <f>Members!E69</f>
        <v>0</v>
      </c>
      <c r="D66" s="174">
        <f>Members!F69</f>
        <v>0</v>
      </c>
      <c r="E66" s="174">
        <f>Members!G69</f>
        <v>0</v>
      </c>
      <c r="F66" s="72">
        <f>Members!H69</f>
        <v>0</v>
      </c>
      <c r="G66" s="71">
        <f>Members!I69</f>
        <v>0</v>
      </c>
      <c r="H66" s="71" t="str">
        <f>Members!J69</f>
        <v/>
      </c>
      <c r="I66" s="72">
        <f>Members!K69</f>
        <v>0</v>
      </c>
      <c r="J66" s="73">
        <f t="shared" si="1"/>
        <v>1</v>
      </c>
      <c r="K66" s="74">
        <f>IFERROR(IF(OR(B66=0,Table3[[#This Row],[Age]]=0,Table3[[#This Row],[Member Type]]="Beneficiary"),0,
IF(B66="Main Member",VLOOKUP(J66,Rate_MM,5),
IF(B66="Spouse",VLOOKUP(J66,Rate_SP,5),
IF(B66="Extended",VLOOKUP(J66,Rate_EXT,5),
IF(B66="Parent",VLOOKUP(J66,Rate_PAR,5),
IF(B66="Child",VLOOKUP(J66,Rate_CH,5))))))),0)</f>
        <v>0</v>
      </c>
      <c r="L66" s="74">
        <f>IFERROR(IF(OR(B66=0,Table3[[#This Row],[Age]]=0,Table3[[#This Row],[Member Type]]="Beneficiary"),0,
IF(B66="Main Member",VLOOKUP(J66,Rate_MM,4),
IF(B66="Spouse",VLOOKUP(J66,Rate_SP,4),
IF(B66="Extended",VLOOKUP(J66,Rate_EXT,4),
IF(B66="Parent",VLOOKUP(J66,Rate_PAR,4),
IF(B66="Child",VLOOKUP(J66,Rate_CH,4))))))),0)</f>
        <v>0</v>
      </c>
      <c r="M66" s="75">
        <f>Members!N69</f>
        <v>0</v>
      </c>
      <c r="N6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6" s="165">
        <f>IF(Table3[[#This Row],[Member Type]]="Child",COUNTIFS($B$3:$B$98,"Child",$C$3:$C$98,Table3[[#This Row],[Main Member Link ID]])-COUNTIFS($B67:$B$98,"Child",$C67:$C$98,Table3[[#This Row],[Main Member Link ID]]),
IF(Table3[[#This Row],[Member Type]]="Extended",COUNTIFS($B$3:$B$98,"Extended",$C$3:$C$98,Table3[[#This Row],[Main Member Link ID]])-COUNTIFS($B67:$B$98,"Extended",$C67:$C$98,Table3[[#This Row],[Main Member Link ID]]),
IF(Table3[[#This Row],[Member Type]]="Parent",COUNTIFS($B$3:$B$98,"Parent",$C$3:$C$98,Table3[[#This Row],[Main Member Link ID]])-COUNTIFS($B67:$B$98,"Parent",$C67:$C$98,Table3[[#This Row],[Main Member Link ID]]),
IF(Table3[[#This Row],[Member Type]]="Spouse",COUNTIFS($B$3:$B$98,"Spouse",$C$3:$C$98,Table3[[#This Row],[Main Member Link ID]])-COUNTIFS($B67:$B$98,"Spouse",$C67:$C$98,Table3[[#This Row],[Main Member Link ID]]),
IF(Table3[[#This Row],[Member Type]]="Main Member",COUNTIFS($B$3:$B$98,"Main Member",$C$3:$C$98,Table3[[#This Row],[Main Member Link ID]])-COUNTIFS($B67:$B$98,"Main Member",$C67:$C$98,Table3[[#This Row],[Main Member Link ID]]),
IF(Table3[[#This Row],[Member Type]]="Beneficiary",COUNTIFS($B$3:$B$98,"Beneficiary",$C$3:$C$98,Table3[[#This Row],[Main Member Link ID]])-COUNTIFS($B67:$B$98,"Beneficiary",$C67:$C$98,Table3[[#This Row],[Main Member Link ID]]),0))))))</f>
        <v>0</v>
      </c>
      <c r="Q6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6" s="166">
        <f>IF(Table3[[#This Row],[Member Type]]="Child",Table3[[#This Row],[Rate per 10,000]]/10000*Table3[[#This Row],[Cover Amount]],0)</f>
        <v>0</v>
      </c>
      <c r="S66" s="165">
        <f>IF(Table3[[#This Row],[Member Type]]="Child",COUNTIFS(Table3[Each Child Premium],Table3[[#This Row],[Each Child Premium]],Table3[Main Member Link ID],Table3[[#This Row],[Main Member Link ID]]),0)</f>
        <v>0</v>
      </c>
      <c r="T66" s="165" t="str">
        <f>IF(Table3[[#This Row],[No. of Child with same Cover Amont under a policy]]=0,"",IF(Table3[[#This Row],[Each Child Premium]]&gt;=_xlfn.MAXIFS(Table3[Each Child Premium],Table3[Main Member Link ID],Table3[[#This Row],[Main Member Link ID]]),"Yes",""))</f>
        <v/>
      </c>
      <c r="U6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policy]]&gt;1,J66=_xlfn.MINIFS(Table3[Age],Table3[Member Type],"Child",Table3[Main Member Link ID],Table3[[#This Row],[Main Member Link ID]],Table3[No. of Child with same Cover Amont under a policy],Table3[[#This Row],[No. of Child with same Cover Amont under a policy]])),1,0)),0)</f>
        <v>0</v>
      </c>
    </row>
    <row r="67" spans="2:21" x14ac:dyDescent="0.3">
      <c r="B67" s="173">
        <f>Members!B70</f>
        <v>0</v>
      </c>
      <c r="C67" s="174">
        <f>Members!E70</f>
        <v>0</v>
      </c>
      <c r="D67" s="174">
        <f>Members!F70</f>
        <v>0</v>
      </c>
      <c r="E67" s="174">
        <f>Members!G70</f>
        <v>0</v>
      </c>
      <c r="F67" s="72">
        <f>Members!H70</f>
        <v>0</v>
      </c>
      <c r="G67" s="71">
        <f>Members!I70</f>
        <v>0</v>
      </c>
      <c r="H67" s="71" t="str">
        <f>Members!J70</f>
        <v/>
      </c>
      <c r="I67" s="72">
        <f>Members!K70</f>
        <v>0</v>
      </c>
      <c r="J67" s="73">
        <f t="shared" si="1"/>
        <v>1</v>
      </c>
      <c r="K67" s="74">
        <f>IFERROR(IF(OR(B67=0,Table3[[#This Row],[Age]]=0,Table3[[#This Row],[Member Type]]="Beneficiary"),0,
IF(B67="Main Member",VLOOKUP(J67,Rate_MM,5),
IF(B67="Spouse",VLOOKUP(J67,Rate_SP,5),
IF(B67="Extended",VLOOKUP(J67,Rate_EXT,5),
IF(B67="Parent",VLOOKUP(J67,Rate_PAR,5),
IF(B67="Child",VLOOKUP(J67,Rate_CH,5))))))),0)</f>
        <v>0</v>
      </c>
      <c r="L67" s="74">
        <f>IFERROR(IF(OR(B67=0,Table3[[#This Row],[Age]]=0,Table3[[#This Row],[Member Type]]="Beneficiary"),0,
IF(B67="Main Member",VLOOKUP(J67,Rate_MM,4),
IF(B67="Spouse",VLOOKUP(J67,Rate_SP,4),
IF(B67="Extended",VLOOKUP(J67,Rate_EXT,4),
IF(B67="Parent",VLOOKUP(J67,Rate_PAR,4),
IF(B67="Child",VLOOKUP(J67,Rate_CH,4))))))),0)</f>
        <v>0</v>
      </c>
      <c r="M67" s="75">
        <f>Members!N70</f>
        <v>0</v>
      </c>
      <c r="N6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7" s="165">
        <f>IF(Table3[[#This Row],[Member Type]]="Child",COUNTIFS($B$3:$B$98,"Child",$C$3:$C$98,Table3[[#This Row],[Main Member Link ID]])-COUNTIFS($B68:$B$98,"Child",$C68:$C$98,Table3[[#This Row],[Main Member Link ID]]),
IF(Table3[[#This Row],[Member Type]]="Extended",COUNTIFS($B$3:$B$98,"Extended",$C$3:$C$98,Table3[[#This Row],[Main Member Link ID]])-COUNTIFS($B68:$B$98,"Extended",$C68:$C$98,Table3[[#This Row],[Main Member Link ID]]),
IF(Table3[[#This Row],[Member Type]]="Parent",COUNTIFS($B$3:$B$98,"Parent",$C$3:$C$98,Table3[[#This Row],[Main Member Link ID]])-COUNTIFS($B68:$B$98,"Parent",$C68:$C$98,Table3[[#This Row],[Main Member Link ID]]),
IF(Table3[[#This Row],[Member Type]]="Spouse",COUNTIFS($B$3:$B$98,"Spouse",$C$3:$C$98,Table3[[#This Row],[Main Member Link ID]])-COUNTIFS($B68:$B$98,"Spouse",$C68:$C$98,Table3[[#This Row],[Main Member Link ID]]),
IF(Table3[[#This Row],[Member Type]]="Main Member",COUNTIFS($B$3:$B$98,"Main Member",$C$3:$C$98,Table3[[#This Row],[Main Member Link ID]])-COUNTIFS($B68:$B$98,"Main Member",$C68:$C$98,Table3[[#This Row],[Main Member Link ID]]),
IF(Table3[[#This Row],[Member Type]]="Beneficiary",COUNTIFS($B$3:$B$98,"Beneficiary",$C$3:$C$98,Table3[[#This Row],[Main Member Link ID]])-COUNTIFS($B68:$B$98,"Beneficiary",$C68:$C$98,Table3[[#This Row],[Main Member Link ID]]),0))))))</f>
        <v>0</v>
      </c>
      <c r="Q6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7" s="166">
        <f>IF(Table3[[#This Row],[Member Type]]="Child",Table3[[#This Row],[Rate per 10,000]]/10000*Table3[[#This Row],[Cover Amount]],0)</f>
        <v>0</v>
      </c>
      <c r="S67" s="165">
        <f>IF(Table3[[#This Row],[Member Type]]="Child",COUNTIFS(Table3[Each Child Premium],Table3[[#This Row],[Each Child Premium]],Table3[Main Member Link ID],Table3[[#This Row],[Main Member Link ID]]),0)</f>
        <v>0</v>
      </c>
      <c r="T67" s="165" t="str">
        <f>IF(Table3[[#This Row],[No. of Child with same Cover Amont under a policy]]=0,"",IF(Table3[[#This Row],[Each Child Premium]]&gt;=_xlfn.MAXIFS(Table3[Each Child Premium],Table3[Main Member Link ID],Table3[[#This Row],[Main Member Link ID]]),"Yes",""))</f>
        <v/>
      </c>
      <c r="U6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policy]]&gt;1,J67=_xlfn.MINIFS(Table3[Age],Table3[Member Type],"Child",Table3[Main Member Link ID],Table3[[#This Row],[Main Member Link ID]],Table3[No. of Child with same Cover Amont under a policy],Table3[[#This Row],[No. of Child with same Cover Amont under a policy]])),1,0)),0)</f>
        <v>0</v>
      </c>
    </row>
    <row r="68" spans="2:21" x14ac:dyDescent="0.3">
      <c r="B68" s="173">
        <f>Members!B71</f>
        <v>0</v>
      </c>
      <c r="C68" s="174">
        <f>Members!E71</f>
        <v>0</v>
      </c>
      <c r="D68" s="174">
        <f>Members!F71</f>
        <v>0</v>
      </c>
      <c r="E68" s="174">
        <f>Members!G71</f>
        <v>0</v>
      </c>
      <c r="F68" s="72">
        <f>Members!H71</f>
        <v>0</v>
      </c>
      <c r="G68" s="71">
        <f>Members!I71</f>
        <v>0</v>
      </c>
      <c r="H68" s="71" t="str">
        <f>Members!J71</f>
        <v/>
      </c>
      <c r="I68" s="72">
        <f>Members!K71</f>
        <v>0</v>
      </c>
      <c r="J68" s="73">
        <f t="shared" ref="J68:J98" si="2">IFERROR(DATEDIF(F68,I68,"Y")+1,0)</f>
        <v>1</v>
      </c>
      <c r="K68" s="74">
        <f>IFERROR(IF(OR(B68=0,Table3[[#This Row],[Age]]=0,Table3[[#This Row],[Member Type]]="Beneficiary"),0,
IF(B68="Main Member",VLOOKUP(J68,Rate_MM,5),
IF(B68="Spouse",VLOOKUP(J68,Rate_SP,5),
IF(B68="Extended",VLOOKUP(J68,Rate_EXT,5),
IF(B68="Parent",VLOOKUP(J68,Rate_PAR,5),
IF(B68="Child",VLOOKUP(J68,Rate_CH,5))))))),0)</f>
        <v>0</v>
      </c>
      <c r="L68" s="74">
        <f>IFERROR(IF(OR(B68=0,Table3[[#This Row],[Age]]=0,Table3[[#This Row],[Member Type]]="Beneficiary"),0,
IF(B68="Main Member",VLOOKUP(J68,Rate_MM,4),
IF(B68="Spouse",VLOOKUP(J68,Rate_SP,4),
IF(B68="Extended",VLOOKUP(J68,Rate_EXT,4),
IF(B68="Parent",VLOOKUP(J68,Rate_PAR,4),
IF(B68="Child",VLOOKUP(J68,Rate_CH,4))))))),0)</f>
        <v>0</v>
      </c>
      <c r="M68" s="75">
        <f>Members!N71</f>
        <v>0</v>
      </c>
      <c r="N6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8" s="165">
        <f>IF(Table3[[#This Row],[Member Type]]="Child",COUNTIFS($B$3:$B$98,"Child",$C$3:$C$98,Table3[[#This Row],[Main Member Link ID]])-COUNTIFS($B69:$B$98,"Child",$C69:$C$98,Table3[[#This Row],[Main Member Link ID]]),
IF(Table3[[#This Row],[Member Type]]="Extended",COUNTIFS($B$3:$B$98,"Extended",$C$3:$C$98,Table3[[#This Row],[Main Member Link ID]])-COUNTIFS($B69:$B$98,"Extended",$C69:$C$98,Table3[[#This Row],[Main Member Link ID]]),
IF(Table3[[#This Row],[Member Type]]="Parent",COUNTIFS($B$3:$B$98,"Parent",$C$3:$C$98,Table3[[#This Row],[Main Member Link ID]])-COUNTIFS($B69:$B$98,"Parent",$C69:$C$98,Table3[[#This Row],[Main Member Link ID]]),
IF(Table3[[#This Row],[Member Type]]="Spouse",COUNTIFS($B$3:$B$98,"Spouse",$C$3:$C$98,Table3[[#This Row],[Main Member Link ID]])-COUNTIFS($B69:$B$98,"Spouse",$C69:$C$98,Table3[[#This Row],[Main Member Link ID]]),
IF(Table3[[#This Row],[Member Type]]="Main Member",COUNTIFS($B$3:$B$98,"Main Member",$C$3:$C$98,Table3[[#This Row],[Main Member Link ID]])-COUNTIFS($B69:$B$98,"Main Member",$C69:$C$98,Table3[[#This Row],[Main Member Link ID]]),
IF(Table3[[#This Row],[Member Type]]="Beneficiary",COUNTIFS($B$3:$B$98,"Beneficiary",$C$3:$C$98,Table3[[#This Row],[Main Member Link ID]])-COUNTIFS($B69:$B$98,"Beneficiary",$C69:$C$98,Table3[[#This Row],[Main Member Link ID]]),0))))))</f>
        <v>0</v>
      </c>
      <c r="Q6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8" s="166">
        <f>IF(Table3[[#This Row],[Member Type]]="Child",Table3[[#This Row],[Rate per 10,000]]/10000*Table3[[#This Row],[Cover Amount]],0)</f>
        <v>0</v>
      </c>
      <c r="S68" s="165">
        <f>IF(Table3[[#This Row],[Member Type]]="Child",COUNTIFS(Table3[Each Child Premium],Table3[[#This Row],[Each Child Premium]],Table3[Main Member Link ID],Table3[[#This Row],[Main Member Link ID]]),0)</f>
        <v>0</v>
      </c>
      <c r="T68" s="165" t="str">
        <f>IF(Table3[[#This Row],[No. of Child with same Cover Amont under a policy]]=0,"",IF(Table3[[#This Row],[Each Child Premium]]&gt;=_xlfn.MAXIFS(Table3[Each Child Premium],Table3[Main Member Link ID],Table3[[#This Row],[Main Member Link ID]]),"Yes",""))</f>
        <v/>
      </c>
      <c r="U6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policy]]&gt;1,J68=_xlfn.MINIFS(Table3[Age],Table3[Member Type],"Child",Table3[Main Member Link ID],Table3[[#This Row],[Main Member Link ID]],Table3[No. of Child with same Cover Amont under a policy],Table3[[#This Row],[No. of Child with same Cover Amont under a policy]])),1,0)),0)</f>
        <v>0</v>
      </c>
    </row>
    <row r="69" spans="2:21" x14ac:dyDescent="0.3">
      <c r="B69" s="173">
        <f>Members!B72</f>
        <v>0</v>
      </c>
      <c r="C69" s="174">
        <f>Members!E72</f>
        <v>0</v>
      </c>
      <c r="D69" s="174">
        <f>Members!F72</f>
        <v>0</v>
      </c>
      <c r="E69" s="174">
        <f>Members!G72</f>
        <v>0</v>
      </c>
      <c r="F69" s="72">
        <f>Members!H72</f>
        <v>0</v>
      </c>
      <c r="G69" s="71">
        <f>Members!I72</f>
        <v>0</v>
      </c>
      <c r="H69" s="71" t="str">
        <f>Members!J72</f>
        <v/>
      </c>
      <c r="I69" s="72">
        <f>Members!K72</f>
        <v>0</v>
      </c>
      <c r="J69" s="73">
        <f t="shared" si="2"/>
        <v>1</v>
      </c>
      <c r="K69" s="74">
        <f>IFERROR(IF(OR(B69=0,Table3[[#This Row],[Age]]=0,Table3[[#This Row],[Member Type]]="Beneficiary"),0,
IF(B69="Main Member",VLOOKUP(J69,Rate_MM,5),
IF(B69="Spouse",VLOOKUP(J69,Rate_SP,5),
IF(B69="Extended",VLOOKUP(J69,Rate_EXT,5),
IF(B69="Parent",VLOOKUP(J69,Rate_PAR,5),
IF(B69="Child",VLOOKUP(J69,Rate_CH,5))))))),0)</f>
        <v>0</v>
      </c>
      <c r="L69" s="74">
        <f>IFERROR(IF(OR(B69=0,Table3[[#This Row],[Age]]=0,Table3[[#This Row],[Member Type]]="Beneficiary"),0,
IF(B69="Main Member",VLOOKUP(J69,Rate_MM,4),
IF(B69="Spouse",VLOOKUP(J69,Rate_SP,4),
IF(B69="Extended",VLOOKUP(J69,Rate_EXT,4),
IF(B69="Parent",VLOOKUP(J69,Rate_PAR,4),
IF(B69="Child",VLOOKUP(J69,Rate_CH,4))))))),0)</f>
        <v>0</v>
      </c>
      <c r="M69" s="75">
        <f>Members!N72</f>
        <v>0</v>
      </c>
      <c r="N6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6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69" s="165">
        <f>IF(Table3[[#This Row],[Member Type]]="Child",COUNTIFS($B$3:$B$98,"Child",$C$3:$C$98,Table3[[#This Row],[Main Member Link ID]])-COUNTIFS($B70:$B$98,"Child",$C70:$C$98,Table3[[#This Row],[Main Member Link ID]]),
IF(Table3[[#This Row],[Member Type]]="Extended",COUNTIFS($B$3:$B$98,"Extended",$C$3:$C$98,Table3[[#This Row],[Main Member Link ID]])-COUNTIFS($B70:$B$98,"Extended",$C70:$C$98,Table3[[#This Row],[Main Member Link ID]]),
IF(Table3[[#This Row],[Member Type]]="Parent",COUNTIFS($B$3:$B$98,"Parent",$C$3:$C$98,Table3[[#This Row],[Main Member Link ID]])-COUNTIFS($B70:$B$98,"Parent",$C70:$C$98,Table3[[#This Row],[Main Member Link ID]]),
IF(Table3[[#This Row],[Member Type]]="Spouse",COUNTIFS($B$3:$B$98,"Spouse",$C$3:$C$98,Table3[[#This Row],[Main Member Link ID]])-COUNTIFS($B70:$B$98,"Spouse",$C70:$C$98,Table3[[#This Row],[Main Member Link ID]]),
IF(Table3[[#This Row],[Member Type]]="Main Member",COUNTIFS($B$3:$B$98,"Main Member",$C$3:$C$98,Table3[[#This Row],[Main Member Link ID]])-COUNTIFS($B70:$B$98,"Main Member",$C70:$C$98,Table3[[#This Row],[Main Member Link ID]]),
IF(Table3[[#This Row],[Member Type]]="Beneficiary",COUNTIFS($B$3:$B$98,"Beneficiary",$C$3:$C$98,Table3[[#This Row],[Main Member Link ID]])-COUNTIFS($B70:$B$98,"Beneficiary",$C70:$C$98,Table3[[#This Row],[Main Member Link ID]]),0))))))</f>
        <v>0</v>
      </c>
      <c r="Q6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69" s="166">
        <f>IF(Table3[[#This Row],[Member Type]]="Child",Table3[[#This Row],[Rate per 10,000]]/10000*Table3[[#This Row],[Cover Amount]],0)</f>
        <v>0</v>
      </c>
      <c r="S69" s="165">
        <f>IF(Table3[[#This Row],[Member Type]]="Child",COUNTIFS(Table3[Each Child Premium],Table3[[#This Row],[Each Child Premium]],Table3[Main Member Link ID],Table3[[#This Row],[Main Member Link ID]]),0)</f>
        <v>0</v>
      </c>
      <c r="T69" s="165" t="str">
        <f>IF(Table3[[#This Row],[No. of Child with same Cover Amont under a policy]]=0,"",IF(Table3[[#This Row],[Each Child Premium]]&gt;=_xlfn.MAXIFS(Table3[Each Child Premium],Table3[Main Member Link ID],Table3[[#This Row],[Main Member Link ID]]),"Yes",""))</f>
        <v/>
      </c>
      <c r="U6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policy]]&gt;1,J69=_xlfn.MINIFS(Table3[Age],Table3[Member Type],"Child",Table3[Main Member Link ID],Table3[[#This Row],[Main Member Link ID]],Table3[No. of Child with same Cover Amont under a policy],Table3[[#This Row],[No. of Child with same Cover Amont under a policy]])),1,0)),0)</f>
        <v>0</v>
      </c>
    </row>
    <row r="70" spans="2:21" x14ac:dyDescent="0.3">
      <c r="B70" s="173">
        <f>Members!B73</f>
        <v>0</v>
      </c>
      <c r="C70" s="174">
        <f>Members!E73</f>
        <v>0</v>
      </c>
      <c r="D70" s="174">
        <f>Members!F73</f>
        <v>0</v>
      </c>
      <c r="E70" s="174">
        <f>Members!G73</f>
        <v>0</v>
      </c>
      <c r="F70" s="72">
        <f>Members!H73</f>
        <v>0</v>
      </c>
      <c r="G70" s="71">
        <f>Members!I73</f>
        <v>0</v>
      </c>
      <c r="H70" s="71" t="str">
        <f>Members!J73</f>
        <v/>
      </c>
      <c r="I70" s="72">
        <f>Members!K73</f>
        <v>0</v>
      </c>
      <c r="J70" s="73">
        <f t="shared" si="2"/>
        <v>1</v>
      </c>
      <c r="K70" s="74">
        <f>IFERROR(IF(OR(B70=0,Table3[[#This Row],[Age]]=0,Table3[[#This Row],[Member Type]]="Beneficiary"),0,
IF(B70="Main Member",VLOOKUP(J70,Rate_MM,5),
IF(B70="Spouse",VLOOKUP(J70,Rate_SP,5),
IF(B70="Extended",VLOOKUP(J70,Rate_EXT,5),
IF(B70="Parent",VLOOKUP(J70,Rate_PAR,5),
IF(B70="Child",VLOOKUP(J70,Rate_CH,5))))))),0)</f>
        <v>0</v>
      </c>
      <c r="L70" s="74">
        <f>IFERROR(IF(OR(B70=0,Table3[[#This Row],[Age]]=0,Table3[[#This Row],[Member Type]]="Beneficiary"),0,
IF(B70="Main Member",VLOOKUP(J70,Rate_MM,4),
IF(B70="Spouse",VLOOKUP(J70,Rate_SP,4),
IF(B70="Extended",VLOOKUP(J70,Rate_EXT,4),
IF(B70="Parent",VLOOKUP(J70,Rate_PAR,4),
IF(B70="Child",VLOOKUP(J70,Rate_CH,4))))))),0)</f>
        <v>0</v>
      </c>
      <c r="M70" s="75">
        <f>Members!N73</f>
        <v>0</v>
      </c>
      <c r="N7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0" s="165">
        <f>IF(Table3[[#This Row],[Member Type]]="Child",COUNTIFS($B$3:$B$98,"Child",$C$3:$C$98,Table3[[#This Row],[Main Member Link ID]])-COUNTIFS($B71:$B$98,"Child",$C71:$C$98,Table3[[#This Row],[Main Member Link ID]]),
IF(Table3[[#This Row],[Member Type]]="Extended",COUNTIFS($B$3:$B$98,"Extended",$C$3:$C$98,Table3[[#This Row],[Main Member Link ID]])-COUNTIFS($B71:$B$98,"Extended",$C71:$C$98,Table3[[#This Row],[Main Member Link ID]]),
IF(Table3[[#This Row],[Member Type]]="Parent",COUNTIFS($B$3:$B$98,"Parent",$C$3:$C$98,Table3[[#This Row],[Main Member Link ID]])-COUNTIFS($B71:$B$98,"Parent",$C71:$C$98,Table3[[#This Row],[Main Member Link ID]]),
IF(Table3[[#This Row],[Member Type]]="Spouse",COUNTIFS($B$3:$B$98,"Spouse",$C$3:$C$98,Table3[[#This Row],[Main Member Link ID]])-COUNTIFS($B71:$B$98,"Spouse",$C71:$C$98,Table3[[#This Row],[Main Member Link ID]]),
IF(Table3[[#This Row],[Member Type]]="Main Member",COUNTIFS($B$3:$B$98,"Main Member",$C$3:$C$98,Table3[[#This Row],[Main Member Link ID]])-COUNTIFS($B71:$B$98,"Main Member",$C71:$C$98,Table3[[#This Row],[Main Member Link ID]]),
IF(Table3[[#This Row],[Member Type]]="Beneficiary",COUNTIFS($B$3:$B$98,"Beneficiary",$C$3:$C$98,Table3[[#This Row],[Main Member Link ID]])-COUNTIFS($B71:$B$98,"Beneficiary",$C71:$C$98,Table3[[#This Row],[Main Member Link ID]]),0))))))</f>
        <v>0</v>
      </c>
      <c r="Q7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0" s="166">
        <f>IF(Table3[[#This Row],[Member Type]]="Child",Table3[[#This Row],[Rate per 10,000]]/10000*Table3[[#This Row],[Cover Amount]],0)</f>
        <v>0</v>
      </c>
      <c r="S70" s="165">
        <f>IF(Table3[[#This Row],[Member Type]]="Child",COUNTIFS(Table3[Each Child Premium],Table3[[#This Row],[Each Child Premium]],Table3[Main Member Link ID],Table3[[#This Row],[Main Member Link ID]]),0)</f>
        <v>0</v>
      </c>
      <c r="T70" s="165" t="str">
        <f>IF(Table3[[#This Row],[No. of Child with same Cover Amont under a policy]]=0,"",IF(Table3[[#This Row],[Each Child Premium]]&gt;=_xlfn.MAXIFS(Table3[Each Child Premium],Table3[Main Member Link ID],Table3[[#This Row],[Main Member Link ID]]),"Yes",""))</f>
        <v/>
      </c>
      <c r="U7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policy]]&gt;1,J70=_xlfn.MINIFS(Table3[Age],Table3[Member Type],"Child",Table3[Main Member Link ID],Table3[[#This Row],[Main Member Link ID]],Table3[No. of Child with same Cover Amont under a policy],Table3[[#This Row],[No. of Child with same Cover Amont under a policy]])),1,0)),0)</f>
        <v>0</v>
      </c>
    </row>
    <row r="71" spans="2:21" x14ac:dyDescent="0.3">
      <c r="B71" s="173">
        <f>Members!B74</f>
        <v>0</v>
      </c>
      <c r="C71" s="174">
        <f>Members!E74</f>
        <v>0</v>
      </c>
      <c r="D71" s="174">
        <f>Members!F74</f>
        <v>0</v>
      </c>
      <c r="E71" s="174">
        <f>Members!G74</f>
        <v>0</v>
      </c>
      <c r="F71" s="72">
        <f>Members!H74</f>
        <v>0</v>
      </c>
      <c r="G71" s="71">
        <f>Members!I74</f>
        <v>0</v>
      </c>
      <c r="H71" s="71" t="str">
        <f>Members!J74</f>
        <v/>
      </c>
      <c r="I71" s="72">
        <f>Members!K74</f>
        <v>0</v>
      </c>
      <c r="J71" s="73">
        <f t="shared" si="2"/>
        <v>1</v>
      </c>
      <c r="K71" s="74">
        <f>IFERROR(IF(OR(B71=0,Table3[[#This Row],[Age]]=0,Table3[[#This Row],[Member Type]]="Beneficiary"),0,
IF(B71="Main Member",VLOOKUP(J71,Rate_MM,5),
IF(B71="Spouse",VLOOKUP(J71,Rate_SP,5),
IF(B71="Extended",VLOOKUP(J71,Rate_EXT,5),
IF(B71="Parent",VLOOKUP(J71,Rate_PAR,5),
IF(B71="Child",VLOOKUP(J71,Rate_CH,5))))))),0)</f>
        <v>0</v>
      </c>
      <c r="L71" s="74">
        <f>IFERROR(IF(OR(B71=0,Table3[[#This Row],[Age]]=0,Table3[[#This Row],[Member Type]]="Beneficiary"),0,
IF(B71="Main Member",VLOOKUP(J71,Rate_MM,4),
IF(B71="Spouse",VLOOKUP(J71,Rate_SP,4),
IF(B71="Extended",VLOOKUP(J71,Rate_EXT,4),
IF(B71="Parent",VLOOKUP(J71,Rate_PAR,4),
IF(B71="Child",VLOOKUP(J71,Rate_CH,4))))))),0)</f>
        <v>0</v>
      </c>
      <c r="M71" s="75">
        <f>Members!N74</f>
        <v>0</v>
      </c>
      <c r="N7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1" s="165">
        <f>IF(Table3[[#This Row],[Member Type]]="Child",COUNTIFS($B$3:$B$98,"Child",$C$3:$C$98,Table3[[#This Row],[Main Member Link ID]])-COUNTIFS($B72:$B$98,"Child",$C72:$C$98,Table3[[#This Row],[Main Member Link ID]]),
IF(Table3[[#This Row],[Member Type]]="Extended",COUNTIFS($B$3:$B$98,"Extended",$C$3:$C$98,Table3[[#This Row],[Main Member Link ID]])-COUNTIFS($B72:$B$98,"Extended",$C72:$C$98,Table3[[#This Row],[Main Member Link ID]]),
IF(Table3[[#This Row],[Member Type]]="Parent",COUNTIFS($B$3:$B$98,"Parent",$C$3:$C$98,Table3[[#This Row],[Main Member Link ID]])-COUNTIFS($B72:$B$98,"Parent",$C72:$C$98,Table3[[#This Row],[Main Member Link ID]]),
IF(Table3[[#This Row],[Member Type]]="Spouse",COUNTIFS($B$3:$B$98,"Spouse",$C$3:$C$98,Table3[[#This Row],[Main Member Link ID]])-COUNTIFS($B72:$B$98,"Spouse",$C72:$C$98,Table3[[#This Row],[Main Member Link ID]]),
IF(Table3[[#This Row],[Member Type]]="Main Member",COUNTIFS($B$3:$B$98,"Main Member",$C$3:$C$98,Table3[[#This Row],[Main Member Link ID]])-COUNTIFS($B72:$B$98,"Main Member",$C72:$C$98,Table3[[#This Row],[Main Member Link ID]]),
IF(Table3[[#This Row],[Member Type]]="Beneficiary",COUNTIFS($B$3:$B$98,"Beneficiary",$C$3:$C$98,Table3[[#This Row],[Main Member Link ID]])-COUNTIFS($B72:$B$98,"Beneficiary",$C72:$C$98,Table3[[#This Row],[Main Member Link ID]]),0))))))</f>
        <v>0</v>
      </c>
      <c r="Q7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1" s="166">
        <f>IF(Table3[[#This Row],[Member Type]]="Child",Table3[[#This Row],[Rate per 10,000]]/10000*Table3[[#This Row],[Cover Amount]],0)</f>
        <v>0</v>
      </c>
      <c r="S71" s="165">
        <f>IF(Table3[[#This Row],[Member Type]]="Child",COUNTIFS(Table3[Each Child Premium],Table3[[#This Row],[Each Child Premium]],Table3[Main Member Link ID],Table3[[#This Row],[Main Member Link ID]]),0)</f>
        <v>0</v>
      </c>
      <c r="T71" s="165" t="str">
        <f>IF(Table3[[#This Row],[No. of Child with same Cover Amont under a policy]]=0,"",IF(Table3[[#This Row],[Each Child Premium]]&gt;=_xlfn.MAXIFS(Table3[Each Child Premium],Table3[Main Member Link ID],Table3[[#This Row],[Main Member Link ID]]),"Yes",""))</f>
        <v/>
      </c>
      <c r="U7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policy]]&gt;1,J71=_xlfn.MINIFS(Table3[Age],Table3[Member Type],"Child",Table3[Main Member Link ID],Table3[[#This Row],[Main Member Link ID]],Table3[No. of Child with same Cover Amont under a policy],Table3[[#This Row],[No. of Child with same Cover Amont under a policy]])),1,0)),0)</f>
        <v>0</v>
      </c>
    </row>
    <row r="72" spans="2:21" x14ac:dyDescent="0.3">
      <c r="B72" s="173">
        <f>Members!B75</f>
        <v>0</v>
      </c>
      <c r="C72" s="174">
        <f>Members!E75</f>
        <v>0</v>
      </c>
      <c r="D72" s="174">
        <f>Members!F75</f>
        <v>0</v>
      </c>
      <c r="E72" s="174">
        <f>Members!G75</f>
        <v>0</v>
      </c>
      <c r="F72" s="72">
        <f>Members!H75</f>
        <v>0</v>
      </c>
      <c r="G72" s="71">
        <f>Members!I75</f>
        <v>0</v>
      </c>
      <c r="H72" s="71" t="str">
        <f>Members!J75</f>
        <v/>
      </c>
      <c r="I72" s="72">
        <f>Members!K75</f>
        <v>0</v>
      </c>
      <c r="J72" s="73">
        <f t="shared" si="2"/>
        <v>1</v>
      </c>
      <c r="K72" s="74">
        <f>IFERROR(IF(OR(B72=0,Table3[[#This Row],[Age]]=0,Table3[[#This Row],[Member Type]]="Beneficiary"),0,
IF(B72="Main Member",VLOOKUP(J72,Rate_MM,5),
IF(B72="Spouse",VLOOKUP(J72,Rate_SP,5),
IF(B72="Extended",VLOOKUP(J72,Rate_EXT,5),
IF(B72="Parent",VLOOKUP(J72,Rate_PAR,5),
IF(B72="Child",VLOOKUP(J72,Rate_CH,5))))))),0)</f>
        <v>0</v>
      </c>
      <c r="L72" s="74">
        <f>IFERROR(IF(OR(B72=0,Table3[[#This Row],[Age]]=0,Table3[[#This Row],[Member Type]]="Beneficiary"),0,
IF(B72="Main Member",VLOOKUP(J72,Rate_MM,4),
IF(B72="Spouse",VLOOKUP(J72,Rate_SP,4),
IF(B72="Extended",VLOOKUP(J72,Rate_EXT,4),
IF(B72="Parent",VLOOKUP(J72,Rate_PAR,4),
IF(B72="Child",VLOOKUP(J72,Rate_CH,4))))))),0)</f>
        <v>0</v>
      </c>
      <c r="M72" s="75">
        <f>Members!N75</f>
        <v>0</v>
      </c>
      <c r="N7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2" s="165">
        <f>IF(Table3[[#This Row],[Member Type]]="Child",COUNTIFS($B$3:$B$98,"Child",$C$3:$C$98,Table3[[#This Row],[Main Member Link ID]])-COUNTIFS($B73:$B$98,"Child",$C73:$C$98,Table3[[#This Row],[Main Member Link ID]]),
IF(Table3[[#This Row],[Member Type]]="Extended",COUNTIFS($B$3:$B$98,"Extended",$C$3:$C$98,Table3[[#This Row],[Main Member Link ID]])-COUNTIFS($B73:$B$98,"Extended",$C73:$C$98,Table3[[#This Row],[Main Member Link ID]]),
IF(Table3[[#This Row],[Member Type]]="Parent",COUNTIFS($B$3:$B$98,"Parent",$C$3:$C$98,Table3[[#This Row],[Main Member Link ID]])-COUNTIFS($B73:$B$98,"Parent",$C73:$C$98,Table3[[#This Row],[Main Member Link ID]]),
IF(Table3[[#This Row],[Member Type]]="Spouse",COUNTIFS($B$3:$B$98,"Spouse",$C$3:$C$98,Table3[[#This Row],[Main Member Link ID]])-COUNTIFS($B73:$B$98,"Spouse",$C73:$C$98,Table3[[#This Row],[Main Member Link ID]]),
IF(Table3[[#This Row],[Member Type]]="Main Member",COUNTIFS($B$3:$B$98,"Main Member",$C$3:$C$98,Table3[[#This Row],[Main Member Link ID]])-COUNTIFS($B73:$B$98,"Main Member",$C73:$C$98,Table3[[#This Row],[Main Member Link ID]]),
IF(Table3[[#This Row],[Member Type]]="Beneficiary",COUNTIFS($B$3:$B$98,"Beneficiary",$C$3:$C$98,Table3[[#This Row],[Main Member Link ID]])-COUNTIFS($B73:$B$98,"Beneficiary",$C73:$C$98,Table3[[#This Row],[Main Member Link ID]]),0))))))</f>
        <v>0</v>
      </c>
      <c r="Q7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2" s="166">
        <f>IF(Table3[[#This Row],[Member Type]]="Child",Table3[[#This Row],[Rate per 10,000]]/10000*Table3[[#This Row],[Cover Amount]],0)</f>
        <v>0</v>
      </c>
      <c r="S72" s="165">
        <f>IF(Table3[[#This Row],[Member Type]]="Child",COUNTIFS(Table3[Each Child Premium],Table3[[#This Row],[Each Child Premium]],Table3[Main Member Link ID],Table3[[#This Row],[Main Member Link ID]]),0)</f>
        <v>0</v>
      </c>
      <c r="T72" s="165" t="str">
        <f>IF(Table3[[#This Row],[No. of Child with same Cover Amont under a policy]]=0,"",IF(Table3[[#This Row],[Each Child Premium]]&gt;=_xlfn.MAXIFS(Table3[Each Child Premium],Table3[Main Member Link ID],Table3[[#This Row],[Main Member Link ID]]),"Yes",""))</f>
        <v/>
      </c>
      <c r="U7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policy]]&gt;1,J72=_xlfn.MINIFS(Table3[Age],Table3[Member Type],"Child",Table3[Main Member Link ID],Table3[[#This Row],[Main Member Link ID]],Table3[No. of Child with same Cover Amont under a policy],Table3[[#This Row],[No. of Child with same Cover Amont under a policy]])),1,0)),0)</f>
        <v>0</v>
      </c>
    </row>
    <row r="73" spans="2:21" x14ac:dyDescent="0.3">
      <c r="B73" s="173">
        <f>Members!B76</f>
        <v>0</v>
      </c>
      <c r="C73" s="174">
        <f>Members!E76</f>
        <v>0</v>
      </c>
      <c r="D73" s="174">
        <f>Members!F76</f>
        <v>0</v>
      </c>
      <c r="E73" s="174">
        <f>Members!G76</f>
        <v>0</v>
      </c>
      <c r="F73" s="72">
        <f>Members!H76</f>
        <v>0</v>
      </c>
      <c r="G73" s="71">
        <f>Members!I76</f>
        <v>0</v>
      </c>
      <c r="H73" s="71" t="str">
        <f>Members!J76</f>
        <v/>
      </c>
      <c r="I73" s="72">
        <f>Members!K76</f>
        <v>0</v>
      </c>
      <c r="J73" s="73">
        <f t="shared" si="2"/>
        <v>1</v>
      </c>
      <c r="K73" s="74">
        <f>IFERROR(IF(OR(B73=0,Table3[[#This Row],[Age]]=0,Table3[[#This Row],[Member Type]]="Beneficiary"),0,
IF(B73="Main Member",VLOOKUP(J73,Rate_MM,5),
IF(B73="Spouse",VLOOKUP(J73,Rate_SP,5),
IF(B73="Extended",VLOOKUP(J73,Rate_EXT,5),
IF(B73="Parent",VLOOKUP(J73,Rate_PAR,5),
IF(B73="Child",VLOOKUP(J73,Rate_CH,5))))))),0)</f>
        <v>0</v>
      </c>
      <c r="L73" s="74">
        <f>IFERROR(IF(OR(B73=0,Table3[[#This Row],[Age]]=0,Table3[[#This Row],[Member Type]]="Beneficiary"),0,
IF(B73="Main Member",VLOOKUP(J73,Rate_MM,4),
IF(B73="Spouse",VLOOKUP(J73,Rate_SP,4),
IF(B73="Extended",VLOOKUP(J73,Rate_EXT,4),
IF(B73="Parent",VLOOKUP(J73,Rate_PAR,4),
IF(B73="Child",VLOOKUP(J73,Rate_CH,4))))))),0)</f>
        <v>0</v>
      </c>
      <c r="M73" s="75">
        <f>Members!N76</f>
        <v>0</v>
      </c>
      <c r="N7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3" s="165">
        <f>IF(Table3[[#This Row],[Member Type]]="Child",COUNTIFS($B$3:$B$98,"Child",$C$3:$C$98,Table3[[#This Row],[Main Member Link ID]])-COUNTIFS($B74:$B$98,"Child",$C74:$C$98,Table3[[#This Row],[Main Member Link ID]]),
IF(Table3[[#This Row],[Member Type]]="Extended",COUNTIFS($B$3:$B$98,"Extended",$C$3:$C$98,Table3[[#This Row],[Main Member Link ID]])-COUNTIFS($B74:$B$98,"Extended",$C74:$C$98,Table3[[#This Row],[Main Member Link ID]]),
IF(Table3[[#This Row],[Member Type]]="Parent",COUNTIFS($B$3:$B$98,"Parent",$C$3:$C$98,Table3[[#This Row],[Main Member Link ID]])-COUNTIFS($B74:$B$98,"Parent",$C74:$C$98,Table3[[#This Row],[Main Member Link ID]]),
IF(Table3[[#This Row],[Member Type]]="Spouse",COUNTIFS($B$3:$B$98,"Spouse",$C$3:$C$98,Table3[[#This Row],[Main Member Link ID]])-COUNTIFS($B74:$B$98,"Spouse",$C74:$C$98,Table3[[#This Row],[Main Member Link ID]]),
IF(Table3[[#This Row],[Member Type]]="Main Member",COUNTIFS($B$3:$B$98,"Main Member",$C$3:$C$98,Table3[[#This Row],[Main Member Link ID]])-COUNTIFS($B74:$B$98,"Main Member",$C74:$C$98,Table3[[#This Row],[Main Member Link ID]]),
IF(Table3[[#This Row],[Member Type]]="Beneficiary",COUNTIFS($B$3:$B$98,"Beneficiary",$C$3:$C$98,Table3[[#This Row],[Main Member Link ID]])-COUNTIFS($B74:$B$98,"Beneficiary",$C74:$C$98,Table3[[#This Row],[Main Member Link ID]]),0))))))</f>
        <v>0</v>
      </c>
      <c r="Q7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3" s="166">
        <f>IF(Table3[[#This Row],[Member Type]]="Child",Table3[[#This Row],[Rate per 10,000]]/10000*Table3[[#This Row],[Cover Amount]],0)</f>
        <v>0</v>
      </c>
      <c r="S73" s="165">
        <f>IF(Table3[[#This Row],[Member Type]]="Child",COUNTIFS(Table3[Each Child Premium],Table3[[#This Row],[Each Child Premium]],Table3[Main Member Link ID],Table3[[#This Row],[Main Member Link ID]]),0)</f>
        <v>0</v>
      </c>
      <c r="T73" s="165" t="str">
        <f>IF(Table3[[#This Row],[No. of Child with same Cover Amont under a policy]]=0,"",IF(Table3[[#This Row],[Each Child Premium]]&gt;=_xlfn.MAXIFS(Table3[Each Child Premium],Table3[Main Member Link ID],Table3[[#This Row],[Main Member Link ID]]),"Yes",""))</f>
        <v/>
      </c>
      <c r="U7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policy]]&gt;1,J73=_xlfn.MINIFS(Table3[Age],Table3[Member Type],"Child",Table3[Main Member Link ID],Table3[[#This Row],[Main Member Link ID]],Table3[No. of Child with same Cover Amont under a policy],Table3[[#This Row],[No. of Child with same Cover Amont under a policy]])),1,0)),0)</f>
        <v>0</v>
      </c>
    </row>
    <row r="74" spans="2:21" x14ac:dyDescent="0.3">
      <c r="B74" s="173">
        <f>Members!B77</f>
        <v>0</v>
      </c>
      <c r="C74" s="174">
        <f>Members!E77</f>
        <v>0</v>
      </c>
      <c r="D74" s="174">
        <f>Members!F77</f>
        <v>0</v>
      </c>
      <c r="E74" s="174">
        <f>Members!G77</f>
        <v>0</v>
      </c>
      <c r="F74" s="72">
        <f>Members!H77</f>
        <v>0</v>
      </c>
      <c r="G74" s="71">
        <f>Members!I77</f>
        <v>0</v>
      </c>
      <c r="H74" s="71" t="str">
        <f>Members!J77</f>
        <v/>
      </c>
      <c r="I74" s="72">
        <f>Members!K77</f>
        <v>0</v>
      </c>
      <c r="J74" s="73">
        <f t="shared" si="2"/>
        <v>1</v>
      </c>
      <c r="K74" s="74">
        <f>IFERROR(IF(OR(B74=0,Table3[[#This Row],[Age]]=0,Table3[[#This Row],[Member Type]]="Beneficiary"),0,
IF(B74="Main Member",VLOOKUP(J74,Rate_MM,5),
IF(B74="Spouse",VLOOKUP(J74,Rate_SP,5),
IF(B74="Extended",VLOOKUP(J74,Rate_EXT,5),
IF(B74="Parent",VLOOKUP(J74,Rate_PAR,5),
IF(B74="Child",VLOOKUP(J74,Rate_CH,5))))))),0)</f>
        <v>0</v>
      </c>
      <c r="L74" s="74">
        <f>IFERROR(IF(OR(B74=0,Table3[[#This Row],[Age]]=0,Table3[[#This Row],[Member Type]]="Beneficiary"),0,
IF(B74="Main Member",VLOOKUP(J74,Rate_MM,4),
IF(B74="Spouse",VLOOKUP(J74,Rate_SP,4),
IF(B74="Extended",VLOOKUP(J74,Rate_EXT,4),
IF(B74="Parent",VLOOKUP(J74,Rate_PAR,4),
IF(B74="Child",VLOOKUP(J74,Rate_CH,4))))))),0)</f>
        <v>0</v>
      </c>
      <c r="M74" s="75">
        <f>Members!N77</f>
        <v>0</v>
      </c>
      <c r="N7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4" s="165">
        <f>IF(Table3[[#This Row],[Member Type]]="Child",COUNTIFS($B$3:$B$98,"Child",$C$3:$C$98,Table3[[#This Row],[Main Member Link ID]])-COUNTIFS($B75:$B$98,"Child",$C75:$C$98,Table3[[#This Row],[Main Member Link ID]]),
IF(Table3[[#This Row],[Member Type]]="Extended",COUNTIFS($B$3:$B$98,"Extended",$C$3:$C$98,Table3[[#This Row],[Main Member Link ID]])-COUNTIFS($B75:$B$98,"Extended",$C75:$C$98,Table3[[#This Row],[Main Member Link ID]]),
IF(Table3[[#This Row],[Member Type]]="Parent",COUNTIFS($B$3:$B$98,"Parent",$C$3:$C$98,Table3[[#This Row],[Main Member Link ID]])-COUNTIFS($B75:$B$98,"Parent",$C75:$C$98,Table3[[#This Row],[Main Member Link ID]]),
IF(Table3[[#This Row],[Member Type]]="Spouse",COUNTIFS($B$3:$B$98,"Spouse",$C$3:$C$98,Table3[[#This Row],[Main Member Link ID]])-COUNTIFS($B75:$B$98,"Spouse",$C75:$C$98,Table3[[#This Row],[Main Member Link ID]]),
IF(Table3[[#This Row],[Member Type]]="Main Member",COUNTIFS($B$3:$B$98,"Main Member",$C$3:$C$98,Table3[[#This Row],[Main Member Link ID]])-COUNTIFS($B75:$B$98,"Main Member",$C75:$C$98,Table3[[#This Row],[Main Member Link ID]]),
IF(Table3[[#This Row],[Member Type]]="Beneficiary",COUNTIFS($B$3:$B$98,"Beneficiary",$C$3:$C$98,Table3[[#This Row],[Main Member Link ID]])-COUNTIFS($B75:$B$98,"Beneficiary",$C75:$C$98,Table3[[#This Row],[Main Member Link ID]]),0))))))</f>
        <v>0</v>
      </c>
      <c r="Q7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4" s="166">
        <f>IF(Table3[[#This Row],[Member Type]]="Child",Table3[[#This Row],[Rate per 10,000]]/10000*Table3[[#This Row],[Cover Amount]],0)</f>
        <v>0</v>
      </c>
      <c r="S74" s="165">
        <f>IF(Table3[[#This Row],[Member Type]]="Child",COUNTIFS(Table3[Each Child Premium],Table3[[#This Row],[Each Child Premium]],Table3[Main Member Link ID],Table3[[#This Row],[Main Member Link ID]]),0)</f>
        <v>0</v>
      </c>
      <c r="T74" s="165" t="str">
        <f>IF(Table3[[#This Row],[No. of Child with same Cover Amont under a policy]]=0,"",IF(Table3[[#This Row],[Each Child Premium]]&gt;=_xlfn.MAXIFS(Table3[Each Child Premium],Table3[Main Member Link ID],Table3[[#This Row],[Main Member Link ID]]),"Yes",""))</f>
        <v/>
      </c>
      <c r="U7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policy]]&gt;1,J74=_xlfn.MINIFS(Table3[Age],Table3[Member Type],"Child",Table3[Main Member Link ID],Table3[[#This Row],[Main Member Link ID]],Table3[No. of Child with same Cover Amont under a policy],Table3[[#This Row],[No. of Child with same Cover Amont under a policy]])),1,0)),0)</f>
        <v>0</v>
      </c>
    </row>
    <row r="75" spans="2:21" x14ac:dyDescent="0.3">
      <c r="B75" s="173">
        <f>Members!B78</f>
        <v>0</v>
      </c>
      <c r="C75" s="174">
        <f>Members!E78</f>
        <v>0</v>
      </c>
      <c r="D75" s="174">
        <f>Members!F78</f>
        <v>0</v>
      </c>
      <c r="E75" s="174">
        <f>Members!G78</f>
        <v>0</v>
      </c>
      <c r="F75" s="72">
        <f>Members!H78</f>
        <v>0</v>
      </c>
      <c r="G75" s="71">
        <f>Members!I78</f>
        <v>0</v>
      </c>
      <c r="H75" s="71" t="str">
        <f>Members!J78</f>
        <v/>
      </c>
      <c r="I75" s="72">
        <f>Members!K78</f>
        <v>0</v>
      </c>
      <c r="J75" s="73">
        <f t="shared" si="2"/>
        <v>1</v>
      </c>
      <c r="K75" s="74">
        <f>IFERROR(IF(OR(B75=0,Table3[[#This Row],[Age]]=0,Table3[[#This Row],[Member Type]]="Beneficiary"),0,
IF(B75="Main Member",VLOOKUP(J75,Rate_MM,5),
IF(B75="Spouse",VLOOKUP(J75,Rate_SP,5),
IF(B75="Extended",VLOOKUP(J75,Rate_EXT,5),
IF(B75="Parent",VLOOKUP(J75,Rate_PAR,5),
IF(B75="Child",VLOOKUP(J75,Rate_CH,5))))))),0)</f>
        <v>0</v>
      </c>
      <c r="L75" s="74">
        <f>IFERROR(IF(OR(B75=0,Table3[[#This Row],[Age]]=0,Table3[[#This Row],[Member Type]]="Beneficiary"),0,
IF(B75="Main Member",VLOOKUP(J75,Rate_MM,4),
IF(B75="Spouse",VLOOKUP(J75,Rate_SP,4),
IF(B75="Extended",VLOOKUP(J75,Rate_EXT,4),
IF(B75="Parent",VLOOKUP(J75,Rate_PAR,4),
IF(B75="Child",VLOOKUP(J75,Rate_CH,4))))))),0)</f>
        <v>0</v>
      </c>
      <c r="M75" s="75">
        <f>Members!N78</f>
        <v>0</v>
      </c>
      <c r="N7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5" s="165">
        <f>IF(Table3[[#This Row],[Member Type]]="Child",COUNTIFS($B$3:$B$98,"Child",$C$3:$C$98,Table3[[#This Row],[Main Member Link ID]])-COUNTIFS($B76:$B$98,"Child",$C76:$C$98,Table3[[#This Row],[Main Member Link ID]]),
IF(Table3[[#This Row],[Member Type]]="Extended",COUNTIFS($B$3:$B$98,"Extended",$C$3:$C$98,Table3[[#This Row],[Main Member Link ID]])-COUNTIFS($B76:$B$98,"Extended",$C76:$C$98,Table3[[#This Row],[Main Member Link ID]]),
IF(Table3[[#This Row],[Member Type]]="Parent",COUNTIFS($B$3:$B$98,"Parent",$C$3:$C$98,Table3[[#This Row],[Main Member Link ID]])-COUNTIFS($B76:$B$98,"Parent",$C76:$C$98,Table3[[#This Row],[Main Member Link ID]]),
IF(Table3[[#This Row],[Member Type]]="Spouse",COUNTIFS($B$3:$B$98,"Spouse",$C$3:$C$98,Table3[[#This Row],[Main Member Link ID]])-COUNTIFS($B76:$B$98,"Spouse",$C76:$C$98,Table3[[#This Row],[Main Member Link ID]]),
IF(Table3[[#This Row],[Member Type]]="Main Member",COUNTIFS($B$3:$B$98,"Main Member",$C$3:$C$98,Table3[[#This Row],[Main Member Link ID]])-COUNTIFS($B76:$B$98,"Main Member",$C76:$C$98,Table3[[#This Row],[Main Member Link ID]]),
IF(Table3[[#This Row],[Member Type]]="Beneficiary",COUNTIFS($B$3:$B$98,"Beneficiary",$C$3:$C$98,Table3[[#This Row],[Main Member Link ID]])-COUNTIFS($B76:$B$98,"Beneficiary",$C76:$C$98,Table3[[#This Row],[Main Member Link ID]]),0))))))</f>
        <v>0</v>
      </c>
      <c r="Q7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5" s="166">
        <f>IF(Table3[[#This Row],[Member Type]]="Child",Table3[[#This Row],[Rate per 10,000]]/10000*Table3[[#This Row],[Cover Amount]],0)</f>
        <v>0</v>
      </c>
      <c r="S75" s="165">
        <f>IF(Table3[[#This Row],[Member Type]]="Child",COUNTIFS(Table3[Each Child Premium],Table3[[#This Row],[Each Child Premium]],Table3[Main Member Link ID],Table3[[#This Row],[Main Member Link ID]]),0)</f>
        <v>0</v>
      </c>
      <c r="T75" s="165" t="str">
        <f>IF(Table3[[#This Row],[No. of Child with same Cover Amont under a policy]]=0,"",IF(Table3[[#This Row],[Each Child Premium]]&gt;=_xlfn.MAXIFS(Table3[Each Child Premium],Table3[Main Member Link ID],Table3[[#This Row],[Main Member Link ID]]),"Yes",""))</f>
        <v/>
      </c>
      <c r="U7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policy]]&gt;1,J75=_xlfn.MINIFS(Table3[Age],Table3[Member Type],"Child",Table3[Main Member Link ID],Table3[[#This Row],[Main Member Link ID]],Table3[No. of Child with same Cover Amont under a policy],Table3[[#This Row],[No. of Child with same Cover Amont under a policy]])),1,0)),0)</f>
        <v>0</v>
      </c>
    </row>
    <row r="76" spans="2:21" x14ac:dyDescent="0.3">
      <c r="B76" s="173">
        <f>Members!B79</f>
        <v>0</v>
      </c>
      <c r="C76" s="174">
        <f>Members!E79</f>
        <v>0</v>
      </c>
      <c r="D76" s="174">
        <f>Members!F79</f>
        <v>0</v>
      </c>
      <c r="E76" s="174">
        <f>Members!G79</f>
        <v>0</v>
      </c>
      <c r="F76" s="72">
        <f>Members!H79</f>
        <v>0</v>
      </c>
      <c r="G76" s="71">
        <f>Members!I79</f>
        <v>0</v>
      </c>
      <c r="H76" s="71" t="str">
        <f>Members!J79</f>
        <v/>
      </c>
      <c r="I76" s="72">
        <f>Members!K79</f>
        <v>0</v>
      </c>
      <c r="J76" s="73">
        <f t="shared" si="2"/>
        <v>1</v>
      </c>
      <c r="K76" s="74">
        <f>IFERROR(IF(OR(B76=0,Table3[[#This Row],[Age]]=0,Table3[[#This Row],[Member Type]]="Beneficiary"),0,
IF(B76="Main Member",VLOOKUP(J76,Rate_MM,5),
IF(B76="Spouse",VLOOKUP(J76,Rate_SP,5),
IF(B76="Extended",VLOOKUP(J76,Rate_EXT,5),
IF(B76="Parent",VLOOKUP(J76,Rate_PAR,5),
IF(B76="Child",VLOOKUP(J76,Rate_CH,5))))))),0)</f>
        <v>0</v>
      </c>
      <c r="L76" s="74">
        <f>IFERROR(IF(OR(B76=0,Table3[[#This Row],[Age]]=0,Table3[[#This Row],[Member Type]]="Beneficiary"),0,
IF(B76="Main Member",VLOOKUP(J76,Rate_MM,4),
IF(B76="Spouse",VLOOKUP(J76,Rate_SP,4),
IF(B76="Extended",VLOOKUP(J76,Rate_EXT,4),
IF(B76="Parent",VLOOKUP(J76,Rate_PAR,4),
IF(B76="Child",VLOOKUP(J76,Rate_CH,4))))))),0)</f>
        <v>0</v>
      </c>
      <c r="M76" s="75">
        <f>Members!N79</f>
        <v>0</v>
      </c>
      <c r="N7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6" s="165">
        <f>IF(Table3[[#This Row],[Member Type]]="Child",COUNTIFS($B$3:$B$98,"Child",$C$3:$C$98,Table3[[#This Row],[Main Member Link ID]])-COUNTIFS($B77:$B$98,"Child",$C77:$C$98,Table3[[#This Row],[Main Member Link ID]]),
IF(Table3[[#This Row],[Member Type]]="Extended",COUNTIFS($B$3:$B$98,"Extended",$C$3:$C$98,Table3[[#This Row],[Main Member Link ID]])-COUNTIFS($B77:$B$98,"Extended",$C77:$C$98,Table3[[#This Row],[Main Member Link ID]]),
IF(Table3[[#This Row],[Member Type]]="Parent",COUNTIFS($B$3:$B$98,"Parent",$C$3:$C$98,Table3[[#This Row],[Main Member Link ID]])-COUNTIFS($B77:$B$98,"Parent",$C77:$C$98,Table3[[#This Row],[Main Member Link ID]]),
IF(Table3[[#This Row],[Member Type]]="Spouse",COUNTIFS($B$3:$B$98,"Spouse",$C$3:$C$98,Table3[[#This Row],[Main Member Link ID]])-COUNTIFS($B77:$B$98,"Spouse",$C77:$C$98,Table3[[#This Row],[Main Member Link ID]]),
IF(Table3[[#This Row],[Member Type]]="Main Member",COUNTIFS($B$3:$B$98,"Main Member",$C$3:$C$98,Table3[[#This Row],[Main Member Link ID]])-COUNTIFS($B77:$B$98,"Main Member",$C77:$C$98,Table3[[#This Row],[Main Member Link ID]]),
IF(Table3[[#This Row],[Member Type]]="Beneficiary",COUNTIFS($B$3:$B$98,"Beneficiary",$C$3:$C$98,Table3[[#This Row],[Main Member Link ID]])-COUNTIFS($B77:$B$98,"Beneficiary",$C77:$C$98,Table3[[#This Row],[Main Member Link ID]]),0))))))</f>
        <v>0</v>
      </c>
      <c r="Q7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6" s="166">
        <f>IF(Table3[[#This Row],[Member Type]]="Child",Table3[[#This Row],[Rate per 10,000]]/10000*Table3[[#This Row],[Cover Amount]],0)</f>
        <v>0</v>
      </c>
      <c r="S76" s="165">
        <f>IF(Table3[[#This Row],[Member Type]]="Child",COUNTIFS(Table3[Each Child Premium],Table3[[#This Row],[Each Child Premium]],Table3[Main Member Link ID],Table3[[#This Row],[Main Member Link ID]]),0)</f>
        <v>0</v>
      </c>
      <c r="T76" s="165" t="str">
        <f>IF(Table3[[#This Row],[No. of Child with same Cover Amont under a policy]]=0,"",IF(Table3[[#This Row],[Each Child Premium]]&gt;=_xlfn.MAXIFS(Table3[Each Child Premium],Table3[Main Member Link ID],Table3[[#This Row],[Main Member Link ID]]),"Yes",""))</f>
        <v/>
      </c>
      <c r="U7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policy]]&gt;1,J76=_xlfn.MINIFS(Table3[Age],Table3[Member Type],"Child",Table3[Main Member Link ID],Table3[[#This Row],[Main Member Link ID]],Table3[No. of Child with same Cover Amont under a policy],Table3[[#This Row],[No. of Child with same Cover Amont under a policy]])),1,0)),0)</f>
        <v>0</v>
      </c>
    </row>
    <row r="77" spans="2:21" x14ac:dyDescent="0.3">
      <c r="B77" s="173">
        <f>Members!B80</f>
        <v>0</v>
      </c>
      <c r="C77" s="174">
        <f>Members!E80</f>
        <v>0</v>
      </c>
      <c r="D77" s="174">
        <f>Members!F80</f>
        <v>0</v>
      </c>
      <c r="E77" s="174">
        <f>Members!G80</f>
        <v>0</v>
      </c>
      <c r="F77" s="72">
        <f>Members!H80</f>
        <v>0</v>
      </c>
      <c r="G77" s="71">
        <f>Members!I80</f>
        <v>0</v>
      </c>
      <c r="H77" s="71" t="str">
        <f>Members!J80</f>
        <v/>
      </c>
      <c r="I77" s="72">
        <f>Members!K80</f>
        <v>0</v>
      </c>
      <c r="J77" s="73">
        <f t="shared" si="2"/>
        <v>1</v>
      </c>
      <c r="K77" s="74">
        <f>IFERROR(IF(OR(B77=0,Table3[[#This Row],[Age]]=0,Table3[[#This Row],[Member Type]]="Beneficiary"),0,
IF(B77="Main Member",VLOOKUP(J77,Rate_MM,5),
IF(B77="Spouse",VLOOKUP(J77,Rate_SP,5),
IF(B77="Extended",VLOOKUP(J77,Rate_EXT,5),
IF(B77="Parent",VLOOKUP(J77,Rate_PAR,5),
IF(B77="Child",VLOOKUP(J77,Rate_CH,5))))))),0)</f>
        <v>0</v>
      </c>
      <c r="L77" s="74">
        <f>IFERROR(IF(OR(B77=0,Table3[[#This Row],[Age]]=0,Table3[[#This Row],[Member Type]]="Beneficiary"),0,
IF(B77="Main Member",VLOOKUP(J77,Rate_MM,4),
IF(B77="Spouse",VLOOKUP(J77,Rate_SP,4),
IF(B77="Extended",VLOOKUP(J77,Rate_EXT,4),
IF(B77="Parent",VLOOKUP(J77,Rate_PAR,4),
IF(B77="Child",VLOOKUP(J77,Rate_CH,4))))))),0)</f>
        <v>0</v>
      </c>
      <c r="M77" s="75">
        <f>Members!N80</f>
        <v>0</v>
      </c>
      <c r="N7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7" s="165">
        <f>IF(Table3[[#This Row],[Member Type]]="Child",COUNTIFS($B$3:$B$98,"Child",$C$3:$C$98,Table3[[#This Row],[Main Member Link ID]])-COUNTIFS($B78:$B$98,"Child",$C78:$C$98,Table3[[#This Row],[Main Member Link ID]]),
IF(Table3[[#This Row],[Member Type]]="Extended",COUNTIFS($B$3:$B$98,"Extended",$C$3:$C$98,Table3[[#This Row],[Main Member Link ID]])-COUNTIFS($B78:$B$98,"Extended",$C78:$C$98,Table3[[#This Row],[Main Member Link ID]]),
IF(Table3[[#This Row],[Member Type]]="Parent",COUNTIFS($B$3:$B$98,"Parent",$C$3:$C$98,Table3[[#This Row],[Main Member Link ID]])-COUNTIFS($B78:$B$98,"Parent",$C78:$C$98,Table3[[#This Row],[Main Member Link ID]]),
IF(Table3[[#This Row],[Member Type]]="Spouse",COUNTIFS($B$3:$B$98,"Spouse",$C$3:$C$98,Table3[[#This Row],[Main Member Link ID]])-COUNTIFS($B78:$B$98,"Spouse",$C78:$C$98,Table3[[#This Row],[Main Member Link ID]]),
IF(Table3[[#This Row],[Member Type]]="Main Member",COUNTIFS($B$3:$B$98,"Main Member",$C$3:$C$98,Table3[[#This Row],[Main Member Link ID]])-COUNTIFS($B78:$B$98,"Main Member",$C78:$C$98,Table3[[#This Row],[Main Member Link ID]]),
IF(Table3[[#This Row],[Member Type]]="Beneficiary",COUNTIFS($B$3:$B$98,"Beneficiary",$C$3:$C$98,Table3[[#This Row],[Main Member Link ID]])-COUNTIFS($B78:$B$98,"Beneficiary",$C78:$C$98,Table3[[#This Row],[Main Member Link ID]]),0))))))</f>
        <v>0</v>
      </c>
      <c r="Q7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7" s="166">
        <f>IF(Table3[[#This Row],[Member Type]]="Child",Table3[[#This Row],[Rate per 10,000]]/10000*Table3[[#This Row],[Cover Amount]],0)</f>
        <v>0</v>
      </c>
      <c r="S77" s="165">
        <f>IF(Table3[[#This Row],[Member Type]]="Child",COUNTIFS(Table3[Each Child Premium],Table3[[#This Row],[Each Child Premium]],Table3[Main Member Link ID],Table3[[#This Row],[Main Member Link ID]]),0)</f>
        <v>0</v>
      </c>
      <c r="T77" s="165" t="str">
        <f>IF(Table3[[#This Row],[No. of Child with same Cover Amont under a policy]]=0,"",IF(Table3[[#This Row],[Each Child Premium]]&gt;=_xlfn.MAXIFS(Table3[Each Child Premium],Table3[Main Member Link ID],Table3[[#This Row],[Main Member Link ID]]),"Yes",""))</f>
        <v/>
      </c>
      <c r="U7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policy]]&gt;1,J77=_xlfn.MINIFS(Table3[Age],Table3[Member Type],"Child",Table3[Main Member Link ID],Table3[[#This Row],[Main Member Link ID]],Table3[No. of Child with same Cover Amont under a policy],Table3[[#This Row],[No. of Child with same Cover Amont under a policy]])),1,0)),0)</f>
        <v>0</v>
      </c>
    </row>
    <row r="78" spans="2:21" x14ac:dyDescent="0.3">
      <c r="B78" s="173">
        <f>Members!B81</f>
        <v>0</v>
      </c>
      <c r="C78" s="174">
        <f>Members!E81</f>
        <v>0</v>
      </c>
      <c r="D78" s="174">
        <f>Members!F81</f>
        <v>0</v>
      </c>
      <c r="E78" s="174">
        <f>Members!G81</f>
        <v>0</v>
      </c>
      <c r="F78" s="72">
        <f>Members!H81</f>
        <v>0</v>
      </c>
      <c r="G78" s="71">
        <f>Members!I81</f>
        <v>0</v>
      </c>
      <c r="H78" s="71" t="str">
        <f>Members!J81</f>
        <v/>
      </c>
      <c r="I78" s="72">
        <f>Members!K81</f>
        <v>0</v>
      </c>
      <c r="J78" s="73">
        <f t="shared" si="2"/>
        <v>1</v>
      </c>
      <c r="K78" s="74">
        <f>IFERROR(IF(OR(B78=0,Table3[[#This Row],[Age]]=0,Table3[[#This Row],[Member Type]]="Beneficiary"),0,
IF(B78="Main Member",VLOOKUP(J78,Rate_MM,5),
IF(B78="Spouse",VLOOKUP(J78,Rate_SP,5),
IF(B78="Extended",VLOOKUP(J78,Rate_EXT,5),
IF(B78="Parent",VLOOKUP(J78,Rate_PAR,5),
IF(B78="Child",VLOOKUP(J78,Rate_CH,5))))))),0)</f>
        <v>0</v>
      </c>
      <c r="L78" s="74">
        <f>IFERROR(IF(OR(B78=0,Table3[[#This Row],[Age]]=0,Table3[[#This Row],[Member Type]]="Beneficiary"),0,
IF(B78="Main Member",VLOOKUP(J78,Rate_MM,4),
IF(B78="Spouse",VLOOKUP(J78,Rate_SP,4),
IF(B78="Extended",VLOOKUP(J78,Rate_EXT,4),
IF(B78="Parent",VLOOKUP(J78,Rate_PAR,4),
IF(B78="Child",VLOOKUP(J78,Rate_CH,4))))))),0)</f>
        <v>0</v>
      </c>
      <c r="M78" s="75">
        <f>Members!N81</f>
        <v>0</v>
      </c>
      <c r="N7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8" s="165">
        <f>IF(Table3[[#This Row],[Member Type]]="Child",COUNTIFS($B$3:$B$98,"Child",$C$3:$C$98,Table3[[#This Row],[Main Member Link ID]])-COUNTIFS($B79:$B$98,"Child",$C79:$C$98,Table3[[#This Row],[Main Member Link ID]]),
IF(Table3[[#This Row],[Member Type]]="Extended",COUNTIFS($B$3:$B$98,"Extended",$C$3:$C$98,Table3[[#This Row],[Main Member Link ID]])-COUNTIFS($B79:$B$98,"Extended",$C79:$C$98,Table3[[#This Row],[Main Member Link ID]]),
IF(Table3[[#This Row],[Member Type]]="Parent",COUNTIFS($B$3:$B$98,"Parent",$C$3:$C$98,Table3[[#This Row],[Main Member Link ID]])-COUNTIFS($B79:$B$98,"Parent",$C79:$C$98,Table3[[#This Row],[Main Member Link ID]]),
IF(Table3[[#This Row],[Member Type]]="Spouse",COUNTIFS($B$3:$B$98,"Spouse",$C$3:$C$98,Table3[[#This Row],[Main Member Link ID]])-COUNTIFS($B79:$B$98,"Spouse",$C79:$C$98,Table3[[#This Row],[Main Member Link ID]]),
IF(Table3[[#This Row],[Member Type]]="Main Member",COUNTIFS($B$3:$B$98,"Main Member",$C$3:$C$98,Table3[[#This Row],[Main Member Link ID]])-COUNTIFS($B79:$B$98,"Main Member",$C79:$C$98,Table3[[#This Row],[Main Member Link ID]]),
IF(Table3[[#This Row],[Member Type]]="Beneficiary",COUNTIFS($B$3:$B$98,"Beneficiary",$C$3:$C$98,Table3[[#This Row],[Main Member Link ID]])-COUNTIFS($B79:$B$98,"Beneficiary",$C79:$C$98,Table3[[#This Row],[Main Member Link ID]]),0))))))</f>
        <v>0</v>
      </c>
      <c r="Q7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8" s="166">
        <f>IF(Table3[[#This Row],[Member Type]]="Child",Table3[[#This Row],[Rate per 10,000]]/10000*Table3[[#This Row],[Cover Amount]],0)</f>
        <v>0</v>
      </c>
      <c r="S78" s="165">
        <f>IF(Table3[[#This Row],[Member Type]]="Child",COUNTIFS(Table3[Each Child Premium],Table3[[#This Row],[Each Child Premium]],Table3[Main Member Link ID],Table3[[#This Row],[Main Member Link ID]]),0)</f>
        <v>0</v>
      </c>
      <c r="T78" s="165" t="str">
        <f>IF(Table3[[#This Row],[No. of Child with same Cover Amont under a policy]]=0,"",IF(Table3[[#This Row],[Each Child Premium]]&gt;=_xlfn.MAXIFS(Table3[Each Child Premium],Table3[Main Member Link ID],Table3[[#This Row],[Main Member Link ID]]),"Yes",""))</f>
        <v/>
      </c>
      <c r="U7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policy]]&gt;1,J78=_xlfn.MINIFS(Table3[Age],Table3[Member Type],"Child",Table3[Main Member Link ID],Table3[[#This Row],[Main Member Link ID]],Table3[No. of Child with same Cover Amont under a policy],Table3[[#This Row],[No. of Child with same Cover Amont under a policy]])),1,0)),0)</f>
        <v>0</v>
      </c>
    </row>
    <row r="79" spans="2:21" x14ac:dyDescent="0.3">
      <c r="B79" s="173">
        <f>Members!B82</f>
        <v>0</v>
      </c>
      <c r="C79" s="174">
        <f>Members!E82</f>
        <v>0</v>
      </c>
      <c r="D79" s="174">
        <f>Members!F82</f>
        <v>0</v>
      </c>
      <c r="E79" s="174">
        <f>Members!G82</f>
        <v>0</v>
      </c>
      <c r="F79" s="72">
        <f>Members!H82</f>
        <v>0</v>
      </c>
      <c r="G79" s="71">
        <f>Members!I82</f>
        <v>0</v>
      </c>
      <c r="H79" s="71" t="str">
        <f>Members!J82</f>
        <v/>
      </c>
      <c r="I79" s="72">
        <f>Members!K82</f>
        <v>0</v>
      </c>
      <c r="J79" s="73">
        <f t="shared" si="2"/>
        <v>1</v>
      </c>
      <c r="K79" s="74">
        <f>IFERROR(IF(OR(B79=0,Table3[[#This Row],[Age]]=0,Table3[[#This Row],[Member Type]]="Beneficiary"),0,
IF(B79="Main Member",VLOOKUP(J79,Rate_MM,5),
IF(B79="Spouse",VLOOKUP(J79,Rate_SP,5),
IF(B79="Extended",VLOOKUP(J79,Rate_EXT,5),
IF(B79="Parent",VLOOKUP(J79,Rate_PAR,5),
IF(B79="Child",VLOOKUP(J79,Rate_CH,5))))))),0)</f>
        <v>0</v>
      </c>
      <c r="L79" s="74">
        <f>IFERROR(IF(OR(B79=0,Table3[[#This Row],[Age]]=0,Table3[[#This Row],[Member Type]]="Beneficiary"),0,
IF(B79="Main Member",VLOOKUP(J79,Rate_MM,4),
IF(B79="Spouse",VLOOKUP(J79,Rate_SP,4),
IF(B79="Extended",VLOOKUP(J79,Rate_EXT,4),
IF(B79="Parent",VLOOKUP(J79,Rate_PAR,4),
IF(B79="Child",VLOOKUP(J79,Rate_CH,4))))))),0)</f>
        <v>0</v>
      </c>
      <c r="M79" s="75">
        <f>Members!N82</f>
        <v>0</v>
      </c>
      <c r="N7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7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79" s="165">
        <f>IF(Table3[[#This Row],[Member Type]]="Child",COUNTIFS($B$3:$B$98,"Child",$C$3:$C$98,Table3[[#This Row],[Main Member Link ID]])-COUNTIFS($B80:$B$98,"Child",$C80:$C$98,Table3[[#This Row],[Main Member Link ID]]),
IF(Table3[[#This Row],[Member Type]]="Extended",COUNTIFS($B$3:$B$98,"Extended",$C$3:$C$98,Table3[[#This Row],[Main Member Link ID]])-COUNTIFS($B80:$B$98,"Extended",$C80:$C$98,Table3[[#This Row],[Main Member Link ID]]),
IF(Table3[[#This Row],[Member Type]]="Parent",COUNTIFS($B$3:$B$98,"Parent",$C$3:$C$98,Table3[[#This Row],[Main Member Link ID]])-COUNTIFS($B80:$B$98,"Parent",$C80:$C$98,Table3[[#This Row],[Main Member Link ID]]),
IF(Table3[[#This Row],[Member Type]]="Spouse",COUNTIFS($B$3:$B$98,"Spouse",$C$3:$C$98,Table3[[#This Row],[Main Member Link ID]])-COUNTIFS($B80:$B$98,"Spouse",$C80:$C$98,Table3[[#This Row],[Main Member Link ID]]),
IF(Table3[[#This Row],[Member Type]]="Main Member",COUNTIFS($B$3:$B$98,"Main Member",$C$3:$C$98,Table3[[#This Row],[Main Member Link ID]])-COUNTIFS($B80:$B$98,"Main Member",$C80:$C$98,Table3[[#This Row],[Main Member Link ID]]),
IF(Table3[[#This Row],[Member Type]]="Beneficiary",COUNTIFS($B$3:$B$98,"Beneficiary",$C$3:$C$98,Table3[[#This Row],[Main Member Link ID]])-COUNTIFS($B80:$B$98,"Beneficiary",$C80:$C$98,Table3[[#This Row],[Main Member Link ID]]),0))))))</f>
        <v>0</v>
      </c>
      <c r="Q7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79" s="166">
        <f>IF(Table3[[#This Row],[Member Type]]="Child",Table3[[#This Row],[Rate per 10,000]]/10000*Table3[[#This Row],[Cover Amount]],0)</f>
        <v>0</v>
      </c>
      <c r="S79" s="165">
        <f>IF(Table3[[#This Row],[Member Type]]="Child",COUNTIFS(Table3[Each Child Premium],Table3[[#This Row],[Each Child Premium]],Table3[Main Member Link ID],Table3[[#This Row],[Main Member Link ID]]),0)</f>
        <v>0</v>
      </c>
      <c r="T79" s="165" t="str">
        <f>IF(Table3[[#This Row],[No. of Child with same Cover Amont under a policy]]=0,"",IF(Table3[[#This Row],[Each Child Premium]]&gt;=_xlfn.MAXIFS(Table3[Each Child Premium],Table3[Main Member Link ID],Table3[[#This Row],[Main Member Link ID]]),"Yes",""))</f>
        <v/>
      </c>
      <c r="U7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policy]]&gt;1,J79=_xlfn.MINIFS(Table3[Age],Table3[Member Type],"Child",Table3[Main Member Link ID],Table3[[#This Row],[Main Member Link ID]],Table3[No. of Child with same Cover Amont under a policy],Table3[[#This Row],[No. of Child with same Cover Amont under a policy]])),1,0)),0)</f>
        <v>0</v>
      </c>
    </row>
    <row r="80" spans="2:21" x14ac:dyDescent="0.3">
      <c r="B80" s="173">
        <f>Members!B83</f>
        <v>0</v>
      </c>
      <c r="C80" s="174">
        <f>Members!E83</f>
        <v>0</v>
      </c>
      <c r="D80" s="174">
        <f>Members!F83</f>
        <v>0</v>
      </c>
      <c r="E80" s="174">
        <f>Members!G83</f>
        <v>0</v>
      </c>
      <c r="F80" s="72">
        <f>Members!H83</f>
        <v>0</v>
      </c>
      <c r="G80" s="71">
        <f>Members!I83</f>
        <v>0</v>
      </c>
      <c r="H80" s="71" t="str">
        <f>Members!J83</f>
        <v/>
      </c>
      <c r="I80" s="72">
        <f>Members!K83</f>
        <v>0</v>
      </c>
      <c r="J80" s="73">
        <f t="shared" si="2"/>
        <v>1</v>
      </c>
      <c r="K80" s="74">
        <f>IFERROR(IF(OR(B80=0,Table3[[#This Row],[Age]]=0,Table3[[#This Row],[Member Type]]="Beneficiary"),0,
IF(B80="Main Member",VLOOKUP(J80,Rate_MM,5),
IF(B80="Spouse",VLOOKUP(J80,Rate_SP,5),
IF(B80="Extended",VLOOKUP(J80,Rate_EXT,5),
IF(B80="Parent",VLOOKUP(J80,Rate_PAR,5),
IF(B80="Child",VLOOKUP(J80,Rate_CH,5))))))),0)</f>
        <v>0</v>
      </c>
      <c r="L80" s="74">
        <f>IFERROR(IF(OR(B80=0,Table3[[#This Row],[Age]]=0,Table3[[#This Row],[Member Type]]="Beneficiary"),0,
IF(B80="Main Member",VLOOKUP(J80,Rate_MM,4),
IF(B80="Spouse",VLOOKUP(J80,Rate_SP,4),
IF(B80="Extended",VLOOKUP(J80,Rate_EXT,4),
IF(B80="Parent",VLOOKUP(J80,Rate_PAR,4),
IF(B80="Child",VLOOKUP(J80,Rate_CH,4))))))),0)</f>
        <v>0</v>
      </c>
      <c r="M80" s="75">
        <f>Members!N83</f>
        <v>0</v>
      </c>
      <c r="N8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0" s="165">
        <f>IF(Table3[[#This Row],[Member Type]]="Child",COUNTIFS($B$3:$B$98,"Child",$C$3:$C$98,Table3[[#This Row],[Main Member Link ID]])-COUNTIFS($B81:$B$98,"Child",$C81:$C$98,Table3[[#This Row],[Main Member Link ID]]),
IF(Table3[[#This Row],[Member Type]]="Extended",COUNTIFS($B$3:$B$98,"Extended",$C$3:$C$98,Table3[[#This Row],[Main Member Link ID]])-COUNTIFS($B81:$B$98,"Extended",$C81:$C$98,Table3[[#This Row],[Main Member Link ID]]),
IF(Table3[[#This Row],[Member Type]]="Parent",COUNTIFS($B$3:$B$98,"Parent",$C$3:$C$98,Table3[[#This Row],[Main Member Link ID]])-COUNTIFS($B81:$B$98,"Parent",$C81:$C$98,Table3[[#This Row],[Main Member Link ID]]),
IF(Table3[[#This Row],[Member Type]]="Spouse",COUNTIFS($B$3:$B$98,"Spouse",$C$3:$C$98,Table3[[#This Row],[Main Member Link ID]])-COUNTIFS($B81:$B$98,"Spouse",$C81:$C$98,Table3[[#This Row],[Main Member Link ID]]),
IF(Table3[[#This Row],[Member Type]]="Main Member",COUNTIFS($B$3:$B$98,"Main Member",$C$3:$C$98,Table3[[#This Row],[Main Member Link ID]])-COUNTIFS($B81:$B$98,"Main Member",$C81:$C$98,Table3[[#This Row],[Main Member Link ID]]),
IF(Table3[[#This Row],[Member Type]]="Beneficiary",COUNTIFS($B$3:$B$98,"Beneficiary",$C$3:$C$98,Table3[[#This Row],[Main Member Link ID]])-COUNTIFS($B81:$B$98,"Beneficiary",$C81:$C$98,Table3[[#This Row],[Main Member Link ID]]),0))))))</f>
        <v>0</v>
      </c>
      <c r="Q8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0" s="166">
        <f>IF(Table3[[#This Row],[Member Type]]="Child",Table3[[#This Row],[Rate per 10,000]]/10000*Table3[[#This Row],[Cover Amount]],0)</f>
        <v>0</v>
      </c>
      <c r="S80" s="165">
        <f>IF(Table3[[#This Row],[Member Type]]="Child",COUNTIFS(Table3[Each Child Premium],Table3[[#This Row],[Each Child Premium]],Table3[Main Member Link ID],Table3[[#This Row],[Main Member Link ID]]),0)</f>
        <v>0</v>
      </c>
      <c r="T80" s="165" t="str">
        <f>IF(Table3[[#This Row],[No. of Child with same Cover Amont under a policy]]=0,"",IF(Table3[[#This Row],[Each Child Premium]]&gt;=_xlfn.MAXIFS(Table3[Each Child Premium],Table3[Main Member Link ID],Table3[[#This Row],[Main Member Link ID]]),"Yes",""))</f>
        <v/>
      </c>
      <c r="U8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policy]]&gt;1,J80=_xlfn.MINIFS(Table3[Age],Table3[Member Type],"Child",Table3[Main Member Link ID],Table3[[#This Row],[Main Member Link ID]],Table3[No. of Child with same Cover Amont under a policy],Table3[[#This Row],[No. of Child with same Cover Amont under a policy]])),1,0)),0)</f>
        <v>0</v>
      </c>
    </row>
    <row r="81" spans="2:21" x14ac:dyDescent="0.3">
      <c r="B81" s="173">
        <f>Members!B84</f>
        <v>0</v>
      </c>
      <c r="C81" s="174">
        <f>Members!E84</f>
        <v>0</v>
      </c>
      <c r="D81" s="174">
        <f>Members!F84</f>
        <v>0</v>
      </c>
      <c r="E81" s="174">
        <f>Members!G84</f>
        <v>0</v>
      </c>
      <c r="F81" s="72">
        <f>Members!H84</f>
        <v>0</v>
      </c>
      <c r="G81" s="71">
        <f>Members!I84</f>
        <v>0</v>
      </c>
      <c r="H81" s="71" t="str">
        <f>Members!J84</f>
        <v/>
      </c>
      <c r="I81" s="72">
        <f>Members!K84</f>
        <v>0</v>
      </c>
      <c r="J81" s="73">
        <f t="shared" si="2"/>
        <v>1</v>
      </c>
      <c r="K81" s="74">
        <f>IFERROR(IF(OR(B81=0,Table3[[#This Row],[Age]]=0,Table3[[#This Row],[Member Type]]="Beneficiary"),0,
IF(B81="Main Member",VLOOKUP(J81,Rate_MM,5),
IF(B81="Spouse",VLOOKUP(J81,Rate_SP,5),
IF(B81="Extended",VLOOKUP(J81,Rate_EXT,5),
IF(B81="Parent",VLOOKUP(J81,Rate_PAR,5),
IF(B81="Child",VLOOKUP(J81,Rate_CH,5))))))),0)</f>
        <v>0</v>
      </c>
      <c r="L81" s="74">
        <f>IFERROR(IF(OR(B81=0,Table3[[#This Row],[Age]]=0,Table3[[#This Row],[Member Type]]="Beneficiary"),0,
IF(B81="Main Member",VLOOKUP(J81,Rate_MM,4),
IF(B81="Spouse",VLOOKUP(J81,Rate_SP,4),
IF(B81="Extended",VLOOKUP(J81,Rate_EXT,4),
IF(B81="Parent",VLOOKUP(J81,Rate_PAR,4),
IF(B81="Child",VLOOKUP(J81,Rate_CH,4))))))),0)</f>
        <v>0</v>
      </c>
      <c r="M81" s="75">
        <f>Members!N84</f>
        <v>0</v>
      </c>
      <c r="N8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1" s="165">
        <f>IF(Table3[[#This Row],[Member Type]]="Child",COUNTIFS($B$3:$B$98,"Child",$C$3:$C$98,Table3[[#This Row],[Main Member Link ID]])-COUNTIFS($B82:$B$98,"Child",$C82:$C$98,Table3[[#This Row],[Main Member Link ID]]),
IF(Table3[[#This Row],[Member Type]]="Extended",COUNTIFS($B$3:$B$98,"Extended",$C$3:$C$98,Table3[[#This Row],[Main Member Link ID]])-COUNTIFS($B82:$B$98,"Extended",$C82:$C$98,Table3[[#This Row],[Main Member Link ID]]),
IF(Table3[[#This Row],[Member Type]]="Parent",COUNTIFS($B$3:$B$98,"Parent",$C$3:$C$98,Table3[[#This Row],[Main Member Link ID]])-COUNTIFS($B82:$B$98,"Parent",$C82:$C$98,Table3[[#This Row],[Main Member Link ID]]),
IF(Table3[[#This Row],[Member Type]]="Spouse",COUNTIFS($B$3:$B$98,"Spouse",$C$3:$C$98,Table3[[#This Row],[Main Member Link ID]])-COUNTIFS($B82:$B$98,"Spouse",$C82:$C$98,Table3[[#This Row],[Main Member Link ID]]),
IF(Table3[[#This Row],[Member Type]]="Main Member",COUNTIFS($B$3:$B$98,"Main Member",$C$3:$C$98,Table3[[#This Row],[Main Member Link ID]])-COUNTIFS($B82:$B$98,"Main Member",$C82:$C$98,Table3[[#This Row],[Main Member Link ID]]),
IF(Table3[[#This Row],[Member Type]]="Beneficiary",COUNTIFS($B$3:$B$98,"Beneficiary",$C$3:$C$98,Table3[[#This Row],[Main Member Link ID]])-COUNTIFS($B82:$B$98,"Beneficiary",$C82:$C$98,Table3[[#This Row],[Main Member Link ID]]),0))))))</f>
        <v>0</v>
      </c>
      <c r="Q8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1" s="166">
        <f>IF(Table3[[#This Row],[Member Type]]="Child",Table3[[#This Row],[Rate per 10,000]]/10000*Table3[[#This Row],[Cover Amount]],0)</f>
        <v>0</v>
      </c>
      <c r="S81" s="165">
        <f>IF(Table3[[#This Row],[Member Type]]="Child",COUNTIFS(Table3[Each Child Premium],Table3[[#This Row],[Each Child Premium]],Table3[Main Member Link ID],Table3[[#This Row],[Main Member Link ID]]),0)</f>
        <v>0</v>
      </c>
      <c r="T81" s="165" t="str">
        <f>IF(Table3[[#This Row],[No. of Child with same Cover Amont under a policy]]=0,"",IF(Table3[[#This Row],[Each Child Premium]]&gt;=_xlfn.MAXIFS(Table3[Each Child Premium],Table3[Main Member Link ID],Table3[[#This Row],[Main Member Link ID]]),"Yes",""))</f>
        <v/>
      </c>
      <c r="U8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policy]]&gt;1,J81=_xlfn.MINIFS(Table3[Age],Table3[Member Type],"Child",Table3[Main Member Link ID],Table3[[#This Row],[Main Member Link ID]],Table3[No. of Child with same Cover Amont under a policy],Table3[[#This Row],[No. of Child with same Cover Amont under a policy]])),1,0)),0)</f>
        <v>0</v>
      </c>
    </row>
    <row r="82" spans="2:21" x14ac:dyDescent="0.3">
      <c r="B82" s="173">
        <f>Members!B85</f>
        <v>0</v>
      </c>
      <c r="C82" s="174">
        <f>Members!E85</f>
        <v>0</v>
      </c>
      <c r="D82" s="174">
        <f>Members!F85</f>
        <v>0</v>
      </c>
      <c r="E82" s="174">
        <f>Members!G85</f>
        <v>0</v>
      </c>
      <c r="F82" s="72">
        <f>Members!H85</f>
        <v>0</v>
      </c>
      <c r="G82" s="71">
        <f>Members!I85</f>
        <v>0</v>
      </c>
      <c r="H82" s="71" t="str">
        <f>Members!J85</f>
        <v/>
      </c>
      <c r="I82" s="72">
        <f>Members!K85</f>
        <v>0</v>
      </c>
      <c r="J82" s="73">
        <f t="shared" si="2"/>
        <v>1</v>
      </c>
      <c r="K82" s="74">
        <f>IFERROR(IF(OR(B82=0,Table3[[#This Row],[Age]]=0,Table3[[#This Row],[Member Type]]="Beneficiary"),0,
IF(B82="Main Member",VLOOKUP(J82,Rate_MM,5),
IF(B82="Spouse",VLOOKUP(J82,Rate_SP,5),
IF(B82="Extended",VLOOKUP(J82,Rate_EXT,5),
IF(B82="Parent",VLOOKUP(J82,Rate_PAR,5),
IF(B82="Child",VLOOKUP(J82,Rate_CH,5))))))),0)</f>
        <v>0</v>
      </c>
      <c r="L82" s="74">
        <f>IFERROR(IF(OR(B82=0,Table3[[#This Row],[Age]]=0,Table3[[#This Row],[Member Type]]="Beneficiary"),0,
IF(B82="Main Member",VLOOKUP(J82,Rate_MM,4),
IF(B82="Spouse",VLOOKUP(J82,Rate_SP,4),
IF(B82="Extended",VLOOKUP(J82,Rate_EXT,4),
IF(B82="Parent",VLOOKUP(J82,Rate_PAR,4),
IF(B82="Child",VLOOKUP(J82,Rate_CH,4))))))),0)</f>
        <v>0</v>
      </c>
      <c r="M82" s="75">
        <f>Members!N85</f>
        <v>0</v>
      </c>
      <c r="N8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2" s="165">
        <f>IF(Table3[[#This Row],[Member Type]]="Child",COUNTIFS($B$3:$B$98,"Child",$C$3:$C$98,Table3[[#This Row],[Main Member Link ID]])-COUNTIFS($B83:$B$98,"Child",$C83:$C$98,Table3[[#This Row],[Main Member Link ID]]),
IF(Table3[[#This Row],[Member Type]]="Extended",COUNTIFS($B$3:$B$98,"Extended",$C$3:$C$98,Table3[[#This Row],[Main Member Link ID]])-COUNTIFS($B83:$B$98,"Extended",$C83:$C$98,Table3[[#This Row],[Main Member Link ID]]),
IF(Table3[[#This Row],[Member Type]]="Parent",COUNTIFS($B$3:$B$98,"Parent",$C$3:$C$98,Table3[[#This Row],[Main Member Link ID]])-COUNTIFS($B83:$B$98,"Parent",$C83:$C$98,Table3[[#This Row],[Main Member Link ID]]),
IF(Table3[[#This Row],[Member Type]]="Spouse",COUNTIFS($B$3:$B$98,"Spouse",$C$3:$C$98,Table3[[#This Row],[Main Member Link ID]])-COUNTIFS($B83:$B$98,"Spouse",$C83:$C$98,Table3[[#This Row],[Main Member Link ID]]),
IF(Table3[[#This Row],[Member Type]]="Main Member",COUNTIFS($B$3:$B$98,"Main Member",$C$3:$C$98,Table3[[#This Row],[Main Member Link ID]])-COUNTIFS($B83:$B$98,"Main Member",$C83:$C$98,Table3[[#This Row],[Main Member Link ID]]),
IF(Table3[[#This Row],[Member Type]]="Beneficiary",COUNTIFS($B$3:$B$98,"Beneficiary",$C$3:$C$98,Table3[[#This Row],[Main Member Link ID]])-COUNTIFS($B83:$B$98,"Beneficiary",$C83:$C$98,Table3[[#This Row],[Main Member Link ID]]),0))))))</f>
        <v>0</v>
      </c>
      <c r="Q8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2" s="166">
        <f>IF(Table3[[#This Row],[Member Type]]="Child",Table3[[#This Row],[Rate per 10,000]]/10000*Table3[[#This Row],[Cover Amount]],0)</f>
        <v>0</v>
      </c>
      <c r="S82" s="165">
        <f>IF(Table3[[#This Row],[Member Type]]="Child",COUNTIFS(Table3[Each Child Premium],Table3[[#This Row],[Each Child Premium]],Table3[Main Member Link ID],Table3[[#This Row],[Main Member Link ID]]),0)</f>
        <v>0</v>
      </c>
      <c r="T82" s="165" t="str">
        <f>IF(Table3[[#This Row],[No. of Child with same Cover Amont under a policy]]=0,"",IF(Table3[[#This Row],[Each Child Premium]]&gt;=_xlfn.MAXIFS(Table3[Each Child Premium],Table3[Main Member Link ID],Table3[[#This Row],[Main Member Link ID]]),"Yes",""))</f>
        <v/>
      </c>
      <c r="U8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policy]]&gt;1,J82=_xlfn.MINIFS(Table3[Age],Table3[Member Type],"Child",Table3[Main Member Link ID],Table3[[#This Row],[Main Member Link ID]],Table3[No. of Child with same Cover Amont under a policy],Table3[[#This Row],[No. of Child with same Cover Amont under a policy]])),1,0)),0)</f>
        <v>0</v>
      </c>
    </row>
    <row r="83" spans="2:21" x14ac:dyDescent="0.3">
      <c r="B83" s="173">
        <f>Members!B86</f>
        <v>0</v>
      </c>
      <c r="C83" s="174">
        <f>Members!E86</f>
        <v>0</v>
      </c>
      <c r="D83" s="174">
        <f>Members!F86</f>
        <v>0</v>
      </c>
      <c r="E83" s="174">
        <f>Members!G86</f>
        <v>0</v>
      </c>
      <c r="F83" s="72">
        <f>Members!H86</f>
        <v>0</v>
      </c>
      <c r="G83" s="71">
        <f>Members!I86</f>
        <v>0</v>
      </c>
      <c r="H83" s="71" t="str">
        <f>Members!J86</f>
        <v/>
      </c>
      <c r="I83" s="72">
        <f>Members!K86</f>
        <v>0</v>
      </c>
      <c r="J83" s="73">
        <f t="shared" si="2"/>
        <v>1</v>
      </c>
      <c r="K83" s="74">
        <f>IFERROR(IF(OR(B83=0,Table3[[#This Row],[Age]]=0,Table3[[#This Row],[Member Type]]="Beneficiary"),0,
IF(B83="Main Member",VLOOKUP(J83,Rate_MM,5),
IF(B83="Spouse",VLOOKUP(J83,Rate_SP,5),
IF(B83="Extended",VLOOKUP(J83,Rate_EXT,5),
IF(B83="Parent",VLOOKUP(J83,Rate_PAR,5),
IF(B83="Child",VLOOKUP(J83,Rate_CH,5))))))),0)</f>
        <v>0</v>
      </c>
      <c r="L83" s="74">
        <f>IFERROR(IF(OR(B83=0,Table3[[#This Row],[Age]]=0,Table3[[#This Row],[Member Type]]="Beneficiary"),0,
IF(B83="Main Member",VLOOKUP(J83,Rate_MM,4),
IF(B83="Spouse",VLOOKUP(J83,Rate_SP,4),
IF(B83="Extended",VLOOKUP(J83,Rate_EXT,4),
IF(B83="Parent",VLOOKUP(J83,Rate_PAR,4),
IF(B83="Child",VLOOKUP(J83,Rate_CH,4))))))),0)</f>
        <v>0</v>
      </c>
      <c r="M83" s="75">
        <f>Members!N86</f>
        <v>0</v>
      </c>
      <c r="N8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3" s="165">
        <f>IF(Table3[[#This Row],[Member Type]]="Child",COUNTIFS($B$3:$B$98,"Child",$C$3:$C$98,Table3[[#This Row],[Main Member Link ID]])-COUNTIFS($B84:$B$98,"Child",$C84:$C$98,Table3[[#This Row],[Main Member Link ID]]),
IF(Table3[[#This Row],[Member Type]]="Extended",COUNTIFS($B$3:$B$98,"Extended",$C$3:$C$98,Table3[[#This Row],[Main Member Link ID]])-COUNTIFS($B84:$B$98,"Extended",$C84:$C$98,Table3[[#This Row],[Main Member Link ID]]),
IF(Table3[[#This Row],[Member Type]]="Parent",COUNTIFS($B$3:$B$98,"Parent",$C$3:$C$98,Table3[[#This Row],[Main Member Link ID]])-COUNTIFS($B84:$B$98,"Parent",$C84:$C$98,Table3[[#This Row],[Main Member Link ID]]),
IF(Table3[[#This Row],[Member Type]]="Spouse",COUNTIFS($B$3:$B$98,"Spouse",$C$3:$C$98,Table3[[#This Row],[Main Member Link ID]])-COUNTIFS($B84:$B$98,"Spouse",$C84:$C$98,Table3[[#This Row],[Main Member Link ID]]),
IF(Table3[[#This Row],[Member Type]]="Main Member",COUNTIFS($B$3:$B$98,"Main Member",$C$3:$C$98,Table3[[#This Row],[Main Member Link ID]])-COUNTIFS($B84:$B$98,"Main Member",$C84:$C$98,Table3[[#This Row],[Main Member Link ID]]),
IF(Table3[[#This Row],[Member Type]]="Beneficiary",COUNTIFS($B$3:$B$98,"Beneficiary",$C$3:$C$98,Table3[[#This Row],[Main Member Link ID]])-COUNTIFS($B84:$B$98,"Beneficiary",$C84:$C$98,Table3[[#This Row],[Main Member Link ID]]),0))))))</f>
        <v>0</v>
      </c>
      <c r="Q8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3" s="166">
        <f>IF(Table3[[#This Row],[Member Type]]="Child",Table3[[#This Row],[Rate per 10,000]]/10000*Table3[[#This Row],[Cover Amount]],0)</f>
        <v>0</v>
      </c>
      <c r="S83" s="165">
        <f>IF(Table3[[#This Row],[Member Type]]="Child",COUNTIFS(Table3[Each Child Premium],Table3[[#This Row],[Each Child Premium]],Table3[Main Member Link ID],Table3[[#This Row],[Main Member Link ID]]),0)</f>
        <v>0</v>
      </c>
      <c r="T83" s="165" t="str">
        <f>IF(Table3[[#This Row],[No. of Child with same Cover Amont under a policy]]=0,"",IF(Table3[[#This Row],[Each Child Premium]]&gt;=_xlfn.MAXIFS(Table3[Each Child Premium],Table3[Main Member Link ID],Table3[[#This Row],[Main Member Link ID]]),"Yes",""))</f>
        <v/>
      </c>
      <c r="U8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policy]]&gt;1,J83=_xlfn.MINIFS(Table3[Age],Table3[Member Type],"Child",Table3[Main Member Link ID],Table3[[#This Row],[Main Member Link ID]],Table3[No. of Child with same Cover Amont under a policy],Table3[[#This Row],[No. of Child with same Cover Amont under a policy]])),1,0)),0)</f>
        <v>0</v>
      </c>
    </row>
    <row r="84" spans="2:21" x14ac:dyDescent="0.3">
      <c r="B84" s="173">
        <f>Members!B87</f>
        <v>0</v>
      </c>
      <c r="C84" s="174">
        <f>Members!E87</f>
        <v>0</v>
      </c>
      <c r="D84" s="174">
        <f>Members!F87</f>
        <v>0</v>
      </c>
      <c r="E84" s="174">
        <f>Members!G87</f>
        <v>0</v>
      </c>
      <c r="F84" s="72">
        <f>Members!H87</f>
        <v>0</v>
      </c>
      <c r="G84" s="71">
        <f>Members!I87</f>
        <v>0</v>
      </c>
      <c r="H84" s="71" t="str">
        <f>Members!J87</f>
        <v/>
      </c>
      <c r="I84" s="72">
        <f>Members!K87</f>
        <v>0</v>
      </c>
      <c r="J84" s="73">
        <f t="shared" si="2"/>
        <v>1</v>
      </c>
      <c r="K84" s="74">
        <f>IFERROR(IF(OR(B84=0,Table3[[#This Row],[Age]]=0,Table3[[#This Row],[Member Type]]="Beneficiary"),0,
IF(B84="Main Member",VLOOKUP(J84,Rate_MM,5),
IF(B84="Spouse",VLOOKUP(J84,Rate_SP,5),
IF(B84="Extended",VLOOKUP(J84,Rate_EXT,5),
IF(B84="Parent",VLOOKUP(J84,Rate_PAR,5),
IF(B84="Child",VLOOKUP(J84,Rate_CH,5))))))),0)</f>
        <v>0</v>
      </c>
      <c r="L84" s="74">
        <f>IFERROR(IF(OR(B84=0,Table3[[#This Row],[Age]]=0,Table3[[#This Row],[Member Type]]="Beneficiary"),0,
IF(B84="Main Member",VLOOKUP(J84,Rate_MM,4),
IF(B84="Spouse",VLOOKUP(J84,Rate_SP,4),
IF(B84="Extended",VLOOKUP(J84,Rate_EXT,4),
IF(B84="Parent",VLOOKUP(J84,Rate_PAR,4),
IF(B84="Child",VLOOKUP(J84,Rate_CH,4))))))),0)</f>
        <v>0</v>
      </c>
      <c r="M84" s="75">
        <f>Members!N87</f>
        <v>0</v>
      </c>
      <c r="N8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4" s="165">
        <f>IF(Table3[[#This Row],[Member Type]]="Child",COUNTIFS($B$3:$B$98,"Child",$C$3:$C$98,Table3[[#This Row],[Main Member Link ID]])-COUNTIFS($B85:$B$98,"Child",$C85:$C$98,Table3[[#This Row],[Main Member Link ID]]),
IF(Table3[[#This Row],[Member Type]]="Extended",COUNTIFS($B$3:$B$98,"Extended",$C$3:$C$98,Table3[[#This Row],[Main Member Link ID]])-COUNTIFS($B85:$B$98,"Extended",$C85:$C$98,Table3[[#This Row],[Main Member Link ID]]),
IF(Table3[[#This Row],[Member Type]]="Parent",COUNTIFS($B$3:$B$98,"Parent",$C$3:$C$98,Table3[[#This Row],[Main Member Link ID]])-COUNTIFS($B85:$B$98,"Parent",$C85:$C$98,Table3[[#This Row],[Main Member Link ID]]),
IF(Table3[[#This Row],[Member Type]]="Spouse",COUNTIFS($B$3:$B$98,"Spouse",$C$3:$C$98,Table3[[#This Row],[Main Member Link ID]])-COUNTIFS($B85:$B$98,"Spouse",$C85:$C$98,Table3[[#This Row],[Main Member Link ID]]),
IF(Table3[[#This Row],[Member Type]]="Main Member",COUNTIFS($B$3:$B$98,"Main Member",$C$3:$C$98,Table3[[#This Row],[Main Member Link ID]])-COUNTIFS($B85:$B$98,"Main Member",$C85:$C$98,Table3[[#This Row],[Main Member Link ID]]),
IF(Table3[[#This Row],[Member Type]]="Beneficiary",COUNTIFS($B$3:$B$98,"Beneficiary",$C$3:$C$98,Table3[[#This Row],[Main Member Link ID]])-COUNTIFS($B85:$B$98,"Beneficiary",$C85:$C$98,Table3[[#This Row],[Main Member Link ID]]),0))))))</f>
        <v>0</v>
      </c>
      <c r="Q8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4" s="166">
        <f>IF(Table3[[#This Row],[Member Type]]="Child",Table3[[#This Row],[Rate per 10,000]]/10000*Table3[[#This Row],[Cover Amount]],0)</f>
        <v>0</v>
      </c>
      <c r="S84" s="165">
        <f>IF(Table3[[#This Row],[Member Type]]="Child",COUNTIFS(Table3[Each Child Premium],Table3[[#This Row],[Each Child Premium]],Table3[Main Member Link ID],Table3[[#This Row],[Main Member Link ID]]),0)</f>
        <v>0</v>
      </c>
      <c r="T84" s="165" t="str">
        <f>IF(Table3[[#This Row],[No. of Child with same Cover Amont under a policy]]=0,"",IF(Table3[[#This Row],[Each Child Premium]]&gt;=_xlfn.MAXIFS(Table3[Each Child Premium],Table3[Main Member Link ID],Table3[[#This Row],[Main Member Link ID]]),"Yes",""))</f>
        <v/>
      </c>
      <c r="U8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policy]]&gt;1,J84=_xlfn.MINIFS(Table3[Age],Table3[Member Type],"Child",Table3[Main Member Link ID],Table3[[#This Row],[Main Member Link ID]],Table3[No. of Child with same Cover Amont under a policy],Table3[[#This Row],[No. of Child with same Cover Amont under a policy]])),1,0)),0)</f>
        <v>0</v>
      </c>
    </row>
    <row r="85" spans="2:21" x14ac:dyDescent="0.3">
      <c r="B85" s="173">
        <f>Members!B88</f>
        <v>0</v>
      </c>
      <c r="C85" s="174">
        <f>Members!E88</f>
        <v>0</v>
      </c>
      <c r="D85" s="174">
        <f>Members!F88</f>
        <v>0</v>
      </c>
      <c r="E85" s="174">
        <f>Members!G88</f>
        <v>0</v>
      </c>
      <c r="F85" s="72">
        <f>Members!H88</f>
        <v>0</v>
      </c>
      <c r="G85" s="71">
        <f>Members!I88</f>
        <v>0</v>
      </c>
      <c r="H85" s="71" t="str">
        <f>Members!J88</f>
        <v/>
      </c>
      <c r="I85" s="72">
        <f>Members!K88</f>
        <v>0</v>
      </c>
      <c r="J85" s="73">
        <f t="shared" si="2"/>
        <v>1</v>
      </c>
      <c r="K85" s="74">
        <f>IFERROR(IF(OR(B85=0,Table3[[#This Row],[Age]]=0,Table3[[#This Row],[Member Type]]="Beneficiary"),0,
IF(B85="Main Member",VLOOKUP(J85,Rate_MM,5),
IF(B85="Spouse",VLOOKUP(J85,Rate_SP,5),
IF(B85="Extended",VLOOKUP(J85,Rate_EXT,5),
IF(B85="Parent",VLOOKUP(J85,Rate_PAR,5),
IF(B85="Child",VLOOKUP(J85,Rate_CH,5))))))),0)</f>
        <v>0</v>
      </c>
      <c r="L85" s="74">
        <f>IFERROR(IF(OR(B85=0,Table3[[#This Row],[Age]]=0,Table3[[#This Row],[Member Type]]="Beneficiary"),0,
IF(B85="Main Member",VLOOKUP(J85,Rate_MM,4),
IF(B85="Spouse",VLOOKUP(J85,Rate_SP,4),
IF(B85="Extended",VLOOKUP(J85,Rate_EXT,4),
IF(B85="Parent",VLOOKUP(J85,Rate_PAR,4),
IF(B85="Child",VLOOKUP(J85,Rate_CH,4))))))),0)</f>
        <v>0</v>
      </c>
      <c r="M85" s="75">
        <f>Members!N88</f>
        <v>0</v>
      </c>
      <c r="N8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5" s="165">
        <f>IF(Table3[[#This Row],[Member Type]]="Child",COUNTIFS($B$3:$B$98,"Child",$C$3:$C$98,Table3[[#This Row],[Main Member Link ID]])-COUNTIFS($B86:$B$98,"Child",$C86:$C$98,Table3[[#This Row],[Main Member Link ID]]),
IF(Table3[[#This Row],[Member Type]]="Extended",COUNTIFS($B$3:$B$98,"Extended",$C$3:$C$98,Table3[[#This Row],[Main Member Link ID]])-COUNTIFS($B86:$B$98,"Extended",$C86:$C$98,Table3[[#This Row],[Main Member Link ID]]),
IF(Table3[[#This Row],[Member Type]]="Parent",COUNTIFS($B$3:$B$98,"Parent",$C$3:$C$98,Table3[[#This Row],[Main Member Link ID]])-COUNTIFS($B86:$B$98,"Parent",$C86:$C$98,Table3[[#This Row],[Main Member Link ID]]),
IF(Table3[[#This Row],[Member Type]]="Spouse",COUNTIFS($B$3:$B$98,"Spouse",$C$3:$C$98,Table3[[#This Row],[Main Member Link ID]])-COUNTIFS($B86:$B$98,"Spouse",$C86:$C$98,Table3[[#This Row],[Main Member Link ID]]),
IF(Table3[[#This Row],[Member Type]]="Main Member",COUNTIFS($B$3:$B$98,"Main Member",$C$3:$C$98,Table3[[#This Row],[Main Member Link ID]])-COUNTIFS($B86:$B$98,"Main Member",$C86:$C$98,Table3[[#This Row],[Main Member Link ID]]),
IF(Table3[[#This Row],[Member Type]]="Beneficiary",COUNTIFS($B$3:$B$98,"Beneficiary",$C$3:$C$98,Table3[[#This Row],[Main Member Link ID]])-COUNTIFS($B86:$B$98,"Beneficiary",$C86:$C$98,Table3[[#This Row],[Main Member Link ID]]),0))))))</f>
        <v>0</v>
      </c>
      <c r="Q8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5" s="166">
        <f>IF(Table3[[#This Row],[Member Type]]="Child",Table3[[#This Row],[Rate per 10,000]]/10000*Table3[[#This Row],[Cover Amount]],0)</f>
        <v>0</v>
      </c>
      <c r="S85" s="165">
        <f>IF(Table3[[#This Row],[Member Type]]="Child",COUNTIFS(Table3[Each Child Premium],Table3[[#This Row],[Each Child Premium]],Table3[Main Member Link ID],Table3[[#This Row],[Main Member Link ID]]),0)</f>
        <v>0</v>
      </c>
      <c r="T85" s="165" t="str">
        <f>IF(Table3[[#This Row],[No. of Child with same Cover Amont under a policy]]=0,"",IF(Table3[[#This Row],[Each Child Premium]]&gt;=_xlfn.MAXIFS(Table3[Each Child Premium],Table3[Main Member Link ID],Table3[[#This Row],[Main Member Link ID]]),"Yes",""))</f>
        <v/>
      </c>
      <c r="U8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policy]]&gt;1,J85=_xlfn.MINIFS(Table3[Age],Table3[Member Type],"Child",Table3[Main Member Link ID],Table3[[#This Row],[Main Member Link ID]],Table3[No. of Child with same Cover Amont under a policy],Table3[[#This Row],[No. of Child with same Cover Amont under a policy]])),1,0)),0)</f>
        <v>0</v>
      </c>
    </row>
    <row r="86" spans="2:21" x14ac:dyDescent="0.3">
      <c r="B86" s="173">
        <f>Members!B89</f>
        <v>0</v>
      </c>
      <c r="C86" s="174">
        <f>Members!E89</f>
        <v>0</v>
      </c>
      <c r="D86" s="174">
        <f>Members!F89</f>
        <v>0</v>
      </c>
      <c r="E86" s="174">
        <f>Members!G89</f>
        <v>0</v>
      </c>
      <c r="F86" s="72">
        <f>Members!H89</f>
        <v>0</v>
      </c>
      <c r="G86" s="71">
        <f>Members!I89</f>
        <v>0</v>
      </c>
      <c r="H86" s="71" t="str">
        <f>Members!J89</f>
        <v/>
      </c>
      <c r="I86" s="72">
        <f>Members!K89</f>
        <v>0</v>
      </c>
      <c r="J86" s="73">
        <f t="shared" si="2"/>
        <v>1</v>
      </c>
      <c r="K86" s="74">
        <f>IFERROR(IF(OR(B86=0,Table3[[#This Row],[Age]]=0,Table3[[#This Row],[Member Type]]="Beneficiary"),0,
IF(B86="Main Member",VLOOKUP(J86,Rate_MM,5),
IF(B86="Spouse",VLOOKUP(J86,Rate_SP,5),
IF(B86="Extended",VLOOKUP(J86,Rate_EXT,5),
IF(B86="Parent",VLOOKUP(J86,Rate_PAR,5),
IF(B86="Child",VLOOKUP(J86,Rate_CH,5))))))),0)</f>
        <v>0</v>
      </c>
      <c r="L86" s="74">
        <f>IFERROR(IF(OR(B86=0,Table3[[#This Row],[Age]]=0,Table3[[#This Row],[Member Type]]="Beneficiary"),0,
IF(B86="Main Member",VLOOKUP(J86,Rate_MM,4),
IF(B86="Spouse",VLOOKUP(J86,Rate_SP,4),
IF(B86="Extended",VLOOKUP(J86,Rate_EXT,4),
IF(B86="Parent",VLOOKUP(J86,Rate_PAR,4),
IF(B86="Child",VLOOKUP(J86,Rate_CH,4))))))),0)</f>
        <v>0</v>
      </c>
      <c r="M86" s="75">
        <f>Members!N89</f>
        <v>0</v>
      </c>
      <c r="N8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6" s="165">
        <f>IF(Table3[[#This Row],[Member Type]]="Child",COUNTIFS($B$3:$B$98,"Child",$C$3:$C$98,Table3[[#This Row],[Main Member Link ID]])-COUNTIFS($B87:$B$98,"Child",$C87:$C$98,Table3[[#This Row],[Main Member Link ID]]),
IF(Table3[[#This Row],[Member Type]]="Extended",COUNTIFS($B$3:$B$98,"Extended",$C$3:$C$98,Table3[[#This Row],[Main Member Link ID]])-COUNTIFS($B87:$B$98,"Extended",$C87:$C$98,Table3[[#This Row],[Main Member Link ID]]),
IF(Table3[[#This Row],[Member Type]]="Parent",COUNTIFS($B$3:$B$98,"Parent",$C$3:$C$98,Table3[[#This Row],[Main Member Link ID]])-COUNTIFS($B87:$B$98,"Parent",$C87:$C$98,Table3[[#This Row],[Main Member Link ID]]),
IF(Table3[[#This Row],[Member Type]]="Spouse",COUNTIFS($B$3:$B$98,"Spouse",$C$3:$C$98,Table3[[#This Row],[Main Member Link ID]])-COUNTIFS($B87:$B$98,"Spouse",$C87:$C$98,Table3[[#This Row],[Main Member Link ID]]),
IF(Table3[[#This Row],[Member Type]]="Main Member",COUNTIFS($B$3:$B$98,"Main Member",$C$3:$C$98,Table3[[#This Row],[Main Member Link ID]])-COUNTIFS($B87:$B$98,"Main Member",$C87:$C$98,Table3[[#This Row],[Main Member Link ID]]),
IF(Table3[[#This Row],[Member Type]]="Beneficiary",COUNTIFS($B$3:$B$98,"Beneficiary",$C$3:$C$98,Table3[[#This Row],[Main Member Link ID]])-COUNTIFS($B87:$B$98,"Beneficiary",$C87:$C$98,Table3[[#This Row],[Main Member Link ID]]),0))))))</f>
        <v>0</v>
      </c>
      <c r="Q8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6" s="166">
        <f>IF(Table3[[#This Row],[Member Type]]="Child",Table3[[#This Row],[Rate per 10,000]]/10000*Table3[[#This Row],[Cover Amount]],0)</f>
        <v>0</v>
      </c>
      <c r="S86" s="165">
        <f>IF(Table3[[#This Row],[Member Type]]="Child",COUNTIFS(Table3[Each Child Premium],Table3[[#This Row],[Each Child Premium]],Table3[Main Member Link ID],Table3[[#This Row],[Main Member Link ID]]),0)</f>
        <v>0</v>
      </c>
      <c r="T86" s="165" t="str">
        <f>IF(Table3[[#This Row],[No. of Child with same Cover Amont under a policy]]=0,"",IF(Table3[[#This Row],[Each Child Premium]]&gt;=_xlfn.MAXIFS(Table3[Each Child Premium],Table3[Main Member Link ID],Table3[[#This Row],[Main Member Link ID]]),"Yes",""))</f>
        <v/>
      </c>
      <c r="U8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policy]]&gt;1,J86=_xlfn.MINIFS(Table3[Age],Table3[Member Type],"Child",Table3[Main Member Link ID],Table3[[#This Row],[Main Member Link ID]],Table3[No. of Child with same Cover Amont under a policy],Table3[[#This Row],[No. of Child with same Cover Amont under a policy]])),1,0)),0)</f>
        <v>0</v>
      </c>
    </row>
    <row r="87" spans="2:21" x14ac:dyDescent="0.3">
      <c r="B87" s="173">
        <f>Members!B90</f>
        <v>0</v>
      </c>
      <c r="C87" s="174">
        <f>Members!E90</f>
        <v>0</v>
      </c>
      <c r="D87" s="174">
        <f>Members!F90</f>
        <v>0</v>
      </c>
      <c r="E87" s="174">
        <f>Members!G90</f>
        <v>0</v>
      </c>
      <c r="F87" s="72">
        <f>Members!H90</f>
        <v>0</v>
      </c>
      <c r="G87" s="71">
        <f>Members!I90</f>
        <v>0</v>
      </c>
      <c r="H87" s="71" t="str">
        <f>Members!J90</f>
        <v/>
      </c>
      <c r="I87" s="72">
        <f>Members!K90</f>
        <v>0</v>
      </c>
      <c r="J87" s="73">
        <f t="shared" si="2"/>
        <v>1</v>
      </c>
      <c r="K87" s="74">
        <f>IFERROR(IF(OR(B87=0,Table3[[#This Row],[Age]]=0,Table3[[#This Row],[Member Type]]="Beneficiary"),0,
IF(B87="Main Member",VLOOKUP(J87,Rate_MM,5),
IF(B87="Spouse",VLOOKUP(J87,Rate_SP,5),
IF(B87="Extended",VLOOKUP(J87,Rate_EXT,5),
IF(B87="Parent",VLOOKUP(J87,Rate_PAR,5),
IF(B87="Child",VLOOKUP(J87,Rate_CH,5))))))),0)</f>
        <v>0</v>
      </c>
      <c r="L87" s="74">
        <f>IFERROR(IF(OR(B87=0,Table3[[#This Row],[Age]]=0,Table3[[#This Row],[Member Type]]="Beneficiary"),0,
IF(B87="Main Member",VLOOKUP(J87,Rate_MM,4),
IF(B87="Spouse",VLOOKUP(J87,Rate_SP,4),
IF(B87="Extended",VLOOKUP(J87,Rate_EXT,4),
IF(B87="Parent",VLOOKUP(J87,Rate_PAR,4),
IF(B87="Child",VLOOKUP(J87,Rate_CH,4))))))),0)</f>
        <v>0</v>
      </c>
      <c r="M87" s="75">
        <f>Members!N90</f>
        <v>0</v>
      </c>
      <c r="N8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7" s="165">
        <f>IF(Table3[[#This Row],[Member Type]]="Child",COUNTIFS($B$3:$B$98,"Child",$C$3:$C$98,Table3[[#This Row],[Main Member Link ID]])-COUNTIFS($B88:$B$98,"Child",$C88:$C$98,Table3[[#This Row],[Main Member Link ID]]),
IF(Table3[[#This Row],[Member Type]]="Extended",COUNTIFS($B$3:$B$98,"Extended",$C$3:$C$98,Table3[[#This Row],[Main Member Link ID]])-COUNTIFS($B88:$B$98,"Extended",$C88:$C$98,Table3[[#This Row],[Main Member Link ID]]),
IF(Table3[[#This Row],[Member Type]]="Parent",COUNTIFS($B$3:$B$98,"Parent",$C$3:$C$98,Table3[[#This Row],[Main Member Link ID]])-COUNTIFS($B88:$B$98,"Parent",$C88:$C$98,Table3[[#This Row],[Main Member Link ID]]),
IF(Table3[[#This Row],[Member Type]]="Spouse",COUNTIFS($B$3:$B$98,"Spouse",$C$3:$C$98,Table3[[#This Row],[Main Member Link ID]])-COUNTIFS($B88:$B$98,"Spouse",$C88:$C$98,Table3[[#This Row],[Main Member Link ID]]),
IF(Table3[[#This Row],[Member Type]]="Main Member",COUNTIFS($B$3:$B$98,"Main Member",$C$3:$C$98,Table3[[#This Row],[Main Member Link ID]])-COUNTIFS($B88:$B$98,"Main Member",$C88:$C$98,Table3[[#This Row],[Main Member Link ID]]),
IF(Table3[[#This Row],[Member Type]]="Beneficiary",COUNTIFS($B$3:$B$98,"Beneficiary",$C$3:$C$98,Table3[[#This Row],[Main Member Link ID]])-COUNTIFS($B88:$B$98,"Beneficiary",$C88:$C$98,Table3[[#This Row],[Main Member Link ID]]),0))))))</f>
        <v>0</v>
      </c>
      <c r="Q8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7" s="166">
        <f>IF(Table3[[#This Row],[Member Type]]="Child",Table3[[#This Row],[Rate per 10,000]]/10000*Table3[[#This Row],[Cover Amount]],0)</f>
        <v>0</v>
      </c>
      <c r="S87" s="165">
        <f>IF(Table3[[#This Row],[Member Type]]="Child",COUNTIFS(Table3[Each Child Premium],Table3[[#This Row],[Each Child Premium]],Table3[Main Member Link ID],Table3[[#This Row],[Main Member Link ID]]),0)</f>
        <v>0</v>
      </c>
      <c r="T87" s="165" t="str">
        <f>IF(Table3[[#This Row],[No. of Child with same Cover Amont under a policy]]=0,"",IF(Table3[[#This Row],[Each Child Premium]]&gt;=_xlfn.MAXIFS(Table3[Each Child Premium],Table3[Main Member Link ID],Table3[[#This Row],[Main Member Link ID]]),"Yes",""))</f>
        <v/>
      </c>
      <c r="U8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policy]]&gt;1,J87=_xlfn.MINIFS(Table3[Age],Table3[Member Type],"Child",Table3[Main Member Link ID],Table3[[#This Row],[Main Member Link ID]],Table3[No. of Child with same Cover Amont under a policy],Table3[[#This Row],[No. of Child with same Cover Amont under a policy]])),1,0)),0)</f>
        <v>0</v>
      </c>
    </row>
    <row r="88" spans="2:21" x14ac:dyDescent="0.3">
      <c r="B88" s="173">
        <f>Members!B91</f>
        <v>0</v>
      </c>
      <c r="C88" s="174">
        <f>Members!E91</f>
        <v>0</v>
      </c>
      <c r="D88" s="174">
        <f>Members!F91</f>
        <v>0</v>
      </c>
      <c r="E88" s="174">
        <f>Members!G91</f>
        <v>0</v>
      </c>
      <c r="F88" s="72">
        <f>Members!H91</f>
        <v>0</v>
      </c>
      <c r="G88" s="71">
        <f>Members!I91</f>
        <v>0</v>
      </c>
      <c r="H88" s="71" t="str">
        <f>Members!J91</f>
        <v/>
      </c>
      <c r="I88" s="72">
        <f>Members!K91</f>
        <v>0</v>
      </c>
      <c r="J88" s="73">
        <f t="shared" si="2"/>
        <v>1</v>
      </c>
      <c r="K88" s="74">
        <f>IFERROR(IF(OR(B88=0,Table3[[#This Row],[Age]]=0,Table3[[#This Row],[Member Type]]="Beneficiary"),0,
IF(B88="Main Member",VLOOKUP(J88,Rate_MM,5),
IF(B88="Spouse",VLOOKUP(J88,Rate_SP,5),
IF(B88="Extended",VLOOKUP(J88,Rate_EXT,5),
IF(B88="Parent",VLOOKUP(J88,Rate_PAR,5),
IF(B88="Child",VLOOKUP(J88,Rate_CH,5))))))),0)</f>
        <v>0</v>
      </c>
      <c r="L88" s="74">
        <f>IFERROR(IF(OR(B88=0,Table3[[#This Row],[Age]]=0,Table3[[#This Row],[Member Type]]="Beneficiary"),0,
IF(B88="Main Member",VLOOKUP(J88,Rate_MM,4),
IF(B88="Spouse",VLOOKUP(J88,Rate_SP,4),
IF(B88="Extended",VLOOKUP(J88,Rate_EXT,4),
IF(B88="Parent",VLOOKUP(J88,Rate_PAR,4),
IF(B88="Child",VLOOKUP(J88,Rate_CH,4))))))),0)</f>
        <v>0</v>
      </c>
      <c r="M88" s="75">
        <f>Members!N91</f>
        <v>0</v>
      </c>
      <c r="N8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8"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8" s="165">
        <f>IF(Table3[[#This Row],[Member Type]]="Child",COUNTIFS($B$3:$B$98,"Child",$C$3:$C$98,Table3[[#This Row],[Main Member Link ID]])-COUNTIFS($B89:$B$98,"Child",$C89:$C$98,Table3[[#This Row],[Main Member Link ID]]),
IF(Table3[[#This Row],[Member Type]]="Extended",COUNTIFS($B$3:$B$98,"Extended",$C$3:$C$98,Table3[[#This Row],[Main Member Link ID]])-COUNTIFS($B89:$B$98,"Extended",$C89:$C$98,Table3[[#This Row],[Main Member Link ID]]),
IF(Table3[[#This Row],[Member Type]]="Parent",COUNTIFS($B$3:$B$98,"Parent",$C$3:$C$98,Table3[[#This Row],[Main Member Link ID]])-COUNTIFS($B89:$B$98,"Parent",$C89:$C$98,Table3[[#This Row],[Main Member Link ID]]),
IF(Table3[[#This Row],[Member Type]]="Spouse",COUNTIFS($B$3:$B$98,"Spouse",$C$3:$C$98,Table3[[#This Row],[Main Member Link ID]])-COUNTIFS($B89:$B$98,"Spouse",$C89:$C$98,Table3[[#This Row],[Main Member Link ID]]),
IF(Table3[[#This Row],[Member Type]]="Main Member",COUNTIFS($B$3:$B$98,"Main Member",$C$3:$C$98,Table3[[#This Row],[Main Member Link ID]])-COUNTIFS($B89:$B$98,"Main Member",$C89:$C$98,Table3[[#This Row],[Main Member Link ID]]),
IF(Table3[[#This Row],[Member Type]]="Beneficiary",COUNTIFS($B$3:$B$98,"Beneficiary",$C$3:$C$98,Table3[[#This Row],[Main Member Link ID]])-COUNTIFS($B89:$B$98,"Beneficiary",$C89:$C$98,Table3[[#This Row],[Main Member Link ID]]),0))))))</f>
        <v>0</v>
      </c>
      <c r="Q88"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8" s="166">
        <f>IF(Table3[[#This Row],[Member Type]]="Child",Table3[[#This Row],[Rate per 10,000]]/10000*Table3[[#This Row],[Cover Amount]],0)</f>
        <v>0</v>
      </c>
      <c r="S88" s="165">
        <f>IF(Table3[[#This Row],[Member Type]]="Child",COUNTIFS(Table3[Each Child Premium],Table3[[#This Row],[Each Child Premium]],Table3[Main Member Link ID],Table3[[#This Row],[Main Member Link ID]]),0)</f>
        <v>0</v>
      </c>
      <c r="T88" s="165" t="str">
        <f>IF(Table3[[#This Row],[No. of Child with same Cover Amont under a policy]]=0,"",IF(Table3[[#This Row],[Each Child Premium]]&gt;=_xlfn.MAXIFS(Table3[Each Child Premium],Table3[Main Member Link ID],Table3[[#This Row],[Main Member Link ID]]),"Yes",""))</f>
        <v/>
      </c>
      <c r="U8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policy]]&gt;1,J88=_xlfn.MINIFS(Table3[Age],Table3[Member Type],"Child",Table3[Main Member Link ID],Table3[[#This Row],[Main Member Link ID]],Table3[No. of Child with same Cover Amont under a policy],Table3[[#This Row],[No. of Child with same Cover Amont under a policy]])),1,0)),0)</f>
        <v>0</v>
      </c>
    </row>
    <row r="89" spans="2:21" x14ac:dyDescent="0.3">
      <c r="B89" s="173">
        <f>Members!B92</f>
        <v>0</v>
      </c>
      <c r="C89" s="174">
        <f>Members!E92</f>
        <v>0</v>
      </c>
      <c r="D89" s="174">
        <f>Members!F92</f>
        <v>0</v>
      </c>
      <c r="E89" s="174">
        <f>Members!G92</f>
        <v>0</v>
      </c>
      <c r="F89" s="72">
        <f>Members!H92</f>
        <v>0</v>
      </c>
      <c r="G89" s="71">
        <f>Members!I92</f>
        <v>0</v>
      </c>
      <c r="H89" s="71" t="str">
        <f>Members!J92</f>
        <v/>
      </c>
      <c r="I89" s="72">
        <f>Members!K92</f>
        <v>0</v>
      </c>
      <c r="J89" s="73">
        <f t="shared" si="2"/>
        <v>1</v>
      </c>
      <c r="K89" s="74">
        <f>IFERROR(IF(OR(B89=0,Table3[[#This Row],[Age]]=0,Table3[[#This Row],[Member Type]]="Beneficiary"),0,
IF(B89="Main Member",VLOOKUP(J89,Rate_MM,5),
IF(B89="Spouse",VLOOKUP(J89,Rate_SP,5),
IF(B89="Extended",VLOOKUP(J89,Rate_EXT,5),
IF(B89="Parent",VLOOKUP(J89,Rate_PAR,5),
IF(B89="Child",VLOOKUP(J89,Rate_CH,5))))))),0)</f>
        <v>0</v>
      </c>
      <c r="L89" s="74">
        <f>IFERROR(IF(OR(B89=0,Table3[[#This Row],[Age]]=0,Table3[[#This Row],[Member Type]]="Beneficiary"),0,
IF(B89="Main Member",VLOOKUP(J89,Rate_MM,4),
IF(B89="Spouse",VLOOKUP(J89,Rate_SP,4),
IF(B89="Extended",VLOOKUP(J89,Rate_EXT,4),
IF(B89="Parent",VLOOKUP(J89,Rate_PAR,4),
IF(B89="Child",VLOOKUP(J89,Rate_CH,4))))))),0)</f>
        <v>0</v>
      </c>
      <c r="M89" s="75">
        <f>Members!N92</f>
        <v>0</v>
      </c>
      <c r="N89"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89"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89" s="165">
        <f>IF(Table3[[#This Row],[Member Type]]="Child",COUNTIFS($B$3:$B$98,"Child",$C$3:$C$98,Table3[[#This Row],[Main Member Link ID]])-COUNTIFS($B90:$B$98,"Child",$C90:$C$98,Table3[[#This Row],[Main Member Link ID]]),
IF(Table3[[#This Row],[Member Type]]="Extended",COUNTIFS($B$3:$B$98,"Extended",$C$3:$C$98,Table3[[#This Row],[Main Member Link ID]])-COUNTIFS($B90:$B$98,"Extended",$C90:$C$98,Table3[[#This Row],[Main Member Link ID]]),
IF(Table3[[#This Row],[Member Type]]="Parent",COUNTIFS($B$3:$B$98,"Parent",$C$3:$C$98,Table3[[#This Row],[Main Member Link ID]])-COUNTIFS($B90:$B$98,"Parent",$C90:$C$98,Table3[[#This Row],[Main Member Link ID]]),
IF(Table3[[#This Row],[Member Type]]="Spouse",COUNTIFS($B$3:$B$98,"Spouse",$C$3:$C$98,Table3[[#This Row],[Main Member Link ID]])-COUNTIFS($B90:$B$98,"Spouse",$C90:$C$98,Table3[[#This Row],[Main Member Link ID]]),
IF(Table3[[#This Row],[Member Type]]="Main Member",COUNTIFS($B$3:$B$98,"Main Member",$C$3:$C$98,Table3[[#This Row],[Main Member Link ID]])-COUNTIFS($B90:$B$98,"Main Member",$C90:$C$98,Table3[[#This Row],[Main Member Link ID]]),
IF(Table3[[#This Row],[Member Type]]="Beneficiary",COUNTIFS($B$3:$B$98,"Beneficiary",$C$3:$C$98,Table3[[#This Row],[Main Member Link ID]])-COUNTIFS($B90:$B$98,"Beneficiary",$C90:$C$98,Table3[[#This Row],[Main Member Link ID]]),0))))))</f>
        <v>0</v>
      </c>
      <c r="Q89"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89" s="166">
        <f>IF(Table3[[#This Row],[Member Type]]="Child",Table3[[#This Row],[Rate per 10,000]]/10000*Table3[[#This Row],[Cover Amount]],0)</f>
        <v>0</v>
      </c>
      <c r="S89" s="165">
        <f>IF(Table3[[#This Row],[Member Type]]="Child",COUNTIFS(Table3[Each Child Premium],Table3[[#This Row],[Each Child Premium]],Table3[Main Member Link ID],Table3[[#This Row],[Main Member Link ID]]),0)</f>
        <v>0</v>
      </c>
      <c r="T89" s="165" t="str">
        <f>IF(Table3[[#This Row],[No. of Child with same Cover Amont under a policy]]=0,"",IF(Table3[[#This Row],[Each Child Premium]]&gt;=_xlfn.MAXIFS(Table3[Each Child Premium],Table3[Main Member Link ID],Table3[[#This Row],[Main Member Link ID]]),"Yes",""))</f>
        <v/>
      </c>
      <c r="U89"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policy]]&gt;1,J89=_xlfn.MINIFS(Table3[Age],Table3[Member Type],"Child",Table3[Main Member Link ID],Table3[[#This Row],[Main Member Link ID]],Table3[No. of Child with same Cover Amont under a policy],Table3[[#This Row],[No. of Child with same Cover Amont under a policy]])),1,0)),0)</f>
        <v>0</v>
      </c>
    </row>
    <row r="90" spans="2:21" x14ac:dyDescent="0.3">
      <c r="B90" s="173">
        <f>Members!B93</f>
        <v>0</v>
      </c>
      <c r="C90" s="174">
        <f>Members!E93</f>
        <v>0</v>
      </c>
      <c r="D90" s="174">
        <f>Members!F93</f>
        <v>0</v>
      </c>
      <c r="E90" s="174">
        <f>Members!G93</f>
        <v>0</v>
      </c>
      <c r="F90" s="72">
        <f>Members!H93</f>
        <v>0</v>
      </c>
      <c r="G90" s="71">
        <f>Members!I93</f>
        <v>0</v>
      </c>
      <c r="H90" s="71" t="str">
        <f>Members!J93</f>
        <v/>
      </c>
      <c r="I90" s="72">
        <f>Members!K93</f>
        <v>0</v>
      </c>
      <c r="J90" s="73">
        <f t="shared" si="2"/>
        <v>1</v>
      </c>
      <c r="K90" s="74">
        <f>IFERROR(IF(OR(B90=0,Table3[[#This Row],[Age]]=0,Table3[[#This Row],[Member Type]]="Beneficiary"),0,
IF(B90="Main Member",VLOOKUP(J90,Rate_MM,5),
IF(B90="Spouse",VLOOKUP(J90,Rate_SP,5),
IF(B90="Extended",VLOOKUP(J90,Rate_EXT,5),
IF(B90="Parent",VLOOKUP(J90,Rate_PAR,5),
IF(B90="Child",VLOOKUP(J90,Rate_CH,5))))))),0)</f>
        <v>0</v>
      </c>
      <c r="L90" s="74">
        <f>IFERROR(IF(OR(B90=0,Table3[[#This Row],[Age]]=0,Table3[[#This Row],[Member Type]]="Beneficiary"),0,
IF(B90="Main Member",VLOOKUP(J90,Rate_MM,4),
IF(B90="Spouse",VLOOKUP(J90,Rate_SP,4),
IF(B90="Extended",VLOOKUP(J90,Rate_EXT,4),
IF(B90="Parent",VLOOKUP(J90,Rate_PAR,4),
IF(B90="Child",VLOOKUP(J90,Rate_CH,4))))))),0)</f>
        <v>0</v>
      </c>
      <c r="M90" s="75">
        <f>Members!N93</f>
        <v>0</v>
      </c>
      <c r="N90"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0"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0" s="165">
        <f>IF(Table3[[#This Row],[Member Type]]="Child",COUNTIFS($B$3:$B$98,"Child",$C$3:$C$98,Table3[[#This Row],[Main Member Link ID]])-COUNTIFS($B91:$B$98,"Child",$C91:$C$98,Table3[[#This Row],[Main Member Link ID]]),
IF(Table3[[#This Row],[Member Type]]="Extended",COUNTIFS($B$3:$B$98,"Extended",$C$3:$C$98,Table3[[#This Row],[Main Member Link ID]])-COUNTIFS($B91:$B$98,"Extended",$C91:$C$98,Table3[[#This Row],[Main Member Link ID]]),
IF(Table3[[#This Row],[Member Type]]="Parent",COUNTIFS($B$3:$B$98,"Parent",$C$3:$C$98,Table3[[#This Row],[Main Member Link ID]])-COUNTIFS($B91:$B$98,"Parent",$C91:$C$98,Table3[[#This Row],[Main Member Link ID]]),
IF(Table3[[#This Row],[Member Type]]="Spouse",COUNTIFS($B$3:$B$98,"Spouse",$C$3:$C$98,Table3[[#This Row],[Main Member Link ID]])-COUNTIFS($B91:$B$98,"Spouse",$C91:$C$98,Table3[[#This Row],[Main Member Link ID]]),
IF(Table3[[#This Row],[Member Type]]="Main Member",COUNTIFS($B$3:$B$98,"Main Member",$C$3:$C$98,Table3[[#This Row],[Main Member Link ID]])-COUNTIFS($B91:$B$98,"Main Member",$C91:$C$98,Table3[[#This Row],[Main Member Link ID]]),
IF(Table3[[#This Row],[Member Type]]="Beneficiary",COUNTIFS($B$3:$B$98,"Beneficiary",$C$3:$C$98,Table3[[#This Row],[Main Member Link ID]])-COUNTIFS($B91:$B$98,"Beneficiary",$C91:$C$98,Table3[[#This Row],[Main Member Link ID]]),0))))))</f>
        <v>0</v>
      </c>
      <c r="Q90"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0" s="166">
        <f>IF(Table3[[#This Row],[Member Type]]="Child",Table3[[#This Row],[Rate per 10,000]]/10000*Table3[[#This Row],[Cover Amount]],0)</f>
        <v>0</v>
      </c>
      <c r="S90" s="165">
        <f>IF(Table3[[#This Row],[Member Type]]="Child",COUNTIFS(Table3[Each Child Premium],Table3[[#This Row],[Each Child Premium]],Table3[Main Member Link ID],Table3[[#This Row],[Main Member Link ID]]),0)</f>
        <v>0</v>
      </c>
      <c r="T90" s="165" t="str">
        <f>IF(Table3[[#This Row],[No. of Child with same Cover Amont under a policy]]=0,"",IF(Table3[[#This Row],[Each Child Premium]]&gt;=_xlfn.MAXIFS(Table3[Each Child Premium],Table3[Main Member Link ID],Table3[[#This Row],[Main Member Link ID]]),"Yes",""))</f>
        <v/>
      </c>
      <c r="U90"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policy]]&gt;1,J90=_xlfn.MINIFS(Table3[Age],Table3[Member Type],"Child",Table3[Main Member Link ID],Table3[[#This Row],[Main Member Link ID]],Table3[No. of Child with same Cover Amont under a policy],Table3[[#This Row],[No. of Child with same Cover Amont under a policy]])),1,0)),0)</f>
        <v>0</v>
      </c>
    </row>
    <row r="91" spans="2:21" x14ac:dyDescent="0.3">
      <c r="B91" s="173">
        <f>Members!B94</f>
        <v>0</v>
      </c>
      <c r="C91" s="174">
        <f>Members!E94</f>
        <v>0</v>
      </c>
      <c r="D91" s="174">
        <f>Members!F94</f>
        <v>0</v>
      </c>
      <c r="E91" s="174">
        <f>Members!G94</f>
        <v>0</v>
      </c>
      <c r="F91" s="72">
        <f>Members!H94</f>
        <v>0</v>
      </c>
      <c r="G91" s="71">
        <f>Members!I94</f>
        <v>0</v>
      </c>
      <c r="H91" s="71" t="str">
        <f>Members!J94</f>
        <v/>
      </c>
      <c r="I91" s="72">
        <f>Members!K94</f>
        <v>0</v>
      </c>
      <c r="J91" s="73">
        <f t="shared" si="2"/>
        <v>1</v>
      </c>
      <c r="K91" s="74">
        <f>IFERROR(IF(OR(B91=0,Table3[[#This Row],[Age]]=0,Table3[[#This Row],[Member Type]]="Beneficiary"),0,
IF(B91="Main Member",VLOOKUP(J91,Rate_MM,5),
IF(B91="Spouse",VLOOKUP(J91,Rate_SP,5),
IF(B91="Extended",VLOOKUP(J91,Rate_EXT,5),
IF(B91="Parent",VLOOKUP(J91,Rate_PAR,5),
IF(B91="Child",VLOOKUP(J91,Rate_CH,5))))))),0)</f>
        <v>0</v>
      </c>
      <c r="L91" s="74">
        <f>IFERROR(IF(OR(B91=0,Table3[[#This Row],[Age]]=0,Table3[[#This Row],[Member Type]]="Beneficiary"),0,
IF(B91="Main Member",VLOOKUP(J91,Rate_MM,4),
IF(B91="Spouse",VLOOKUP(J91,Rate_SP,4),
IF(B91="Extended",VLOOKUP(J91,Rate_EXT,4),
IF(B91="Parent",VLOOKUP(J91,Rate_PAR,4),
IF(B91="Child",VLOOKUP(J91,Rate_CH,4))))))),0)</f>
        <v>0</v>
      </c>
      <c r="M91" s="75">
        <f>Members!N94</f>
        <v>0</v>
      </c>
      <c r="N91"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1"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1" s="165">
        <f>IF(Table3[[#This Row],[Member Type]]="Child",COUNTIFS($B$3:$B$98,"Child",$C$3:$C$98,Table3[[#This Row],[Main Member Link ID]])-COUNTIFS($B92:$B$98,"Child",$C92:$C$98,Table3[[#This Row],[Main Member Link ID]]),
IF(Table3[[#This Row],[Member Type]]="Extended",COUNTIFS($B$3:$B$98,"Extended",$C$3:$C$98,Table3[[#This Row],[Main Member Link ID]])-COUNTIFS($B92:$B$98,"Extended",$C92:$C$98,Table3[[#This Row],[Main Member Link ID]]),
IF(Table3[[#This Row],[Member Type]]="Parent",COUNTIFS($B$3:$B$98,"Parent",$C$3:$C$98,Table3[[#This Row],[Main Member Link ID]])-COUNTIFS($B92:$B$98,"Parent",$C92:$C$98,Table3[[#This Row],[Main Member Link ID]]),
IF(Table3[[#This Row],[Member Type]]="Spouse",COUNTIFS($B$3:$B$98,"Spouse",$C$3:$C$98,Table3[[#This Row],[Main Member Link ID]])-COUNTIFS($B92:$B$98,"Spouse",$C92:$C$98,Table3[[#This Row],[Main Member Link ID]]),
IF(Table3[[#This Row],[Member Type]]="Main Member",COUNTIFS($B$3:$B$98,"Main Member",$C$3:$C$98,Table3[[#This Row],[Main Member Link ID]])-COUNTIFS($B92:$B$98,"Main Member",$C92:$C$98,Table3[[#This Row],[Main Member Link ID]]),
IF(Table3[[#This Row],[Member Type]]="Beneficiary",COUNTIFS($B$3:$B$98,"Beneficiary",$C$3:$C$98,Table3[[#This Row],[Main Member Link ID]])-COUNTIFS($B92:$B$98,"Beneficiary",$C92:$C$98,Table3[[#This Row],[Main Member Link ID]]),0))))))</f>
        <v>0</v>
      </c>
      <c r="Q91"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1" s="166">
        <f>IF(Table3[[#This Row],[Member Type]]="Child",Table3[[#This Row],[Rate per 10,000]]/10000*Table3[[#This Row],[Cover Amount]],0)</f>
        <v>0</v>
      </c>
      <c r="S91" s="165">
        <f>IF(Table3[[#This Row],[Member Type]]="Child",COUNTIFS(Table3[Each Child Premium],Table3[[#This Row],[Each Child Premium]],Table3[Main Member Link ID],Table3[[#This Row],[Main Member Link ID]]),0)</f>
        <v>0</v>
      </c>
      <c r="T91" s="165" t="str">
        <f>IF(Table3[[#This Row],[No. of Child with same Cover Amont under a policy]]=0,"",IF(Table3[[#This Row],[Each Child Premium]]&gt;=_xlfn.MAXIFS(Table3[Each Child Premium],Table3[Main Member Link ID],Table3[[#This Row],[Main Member Link ID]]),"Yes",""))</f>
        <v/>
      </c>
      <c r="U91"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policy]]&gt;1,J91=_xlfn.MINIFS(Table3[Age],Table3[Member Type],"Child",Table3[Main Member Link ID],Table3[[#This Row],[Main Member Link ID]],Table3[No. of Child with same Cover Amont under a policy],Table3[[#This Row],[No. of Child with same Cover Amont under a policy]])),1,0)),0)</f>
        <v>0</v>
      </c>
    </row>
    <row r="92" spans="2:21" x14ac:dyDescent="0.3">
      <c r="B92" s="173">
        <f>Members!B95</f>
        <v>0</v>
      </c>
      <c r="C92" s="174">
        <f>Members!E95</f>
        <v>0</v>
      </c>
      <c r="D92" s="174">
        <f>Members!F95</f>
        <v>0</v>
      </c>
      <c r="E92" s="174">
        <f>Members!G95</f>
        <v>0</v>
      </c>
      <c r="F92" s="72">
        <f>Members!H95</f>
        <v>0</v>
      </c>
      <c r="G92" s="71">
        <f>Members!I95</f>
        <v>0</v>
      </c>
      <c r="H92" s="71" t="str">
        <f>Members!J95</f>
        <v/>
      </c>
      <c r="I92" s="72">
        <f>Members!K95</f>
        <v>0</v>
      </c>
      <c r="J92" s="73">
        <f t="shared" si="2"/>
        <v>1</v>
      </c>
      <c r="K92" s="74">
        <f>IFERROR(IF(OR(B92=0,Table3[[#This Row],[Age]]=0,Table3[[#This Row],[Member Type]]="Beneficiary"),0,
IF(B92="Main Member",VLOOKUP(J92,Rate_MM,5),
IF(B92="Spouse",VLOOKUP(J92,Rate_SP,5),
IF(B92="Extended",VLOOKUP(J92,Rate_EXT,5),
IF(B92="Parent",VLOOKUP(J92,Rate_PAR,5),
IF(B92="Child",VLOOKUP(J92,Rate_CH,5))))))),0)</f>
        <v>0</v>
      </c>
      <c r="L92" s="74">
        <f>IFERROR(IF(OR(B92=0,Table3[[#This Row],[Age]]=0,Table3[[#This Row],[Member Type]]="Beneficiary"),0,
IF(B92="Main Member",VLOOKUP(J92,Rate_MM,4),
IF(B92="Spouse",VLOOKUP(J92,Rate_SP,4),
IF(B92="Extended",VLOOKUP(J92,Rate_EXT,4),
IF(B92="Parent",VLOOKUP(J92,Rate_PAR,4),
IF(B92="Child",VLOOKUP(J92,Rate_CH,4))))))),0)</f>
        <v>0</v>
      </c>
      <c r="M92" s="75">
        <f>Members!N95</f>
        <v>0</v>
      </c>
      <c r="N92"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2"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2" s="165">
        <f>IF(Table3[[#This Row],[Member Type]]="Child",COUNTIFS($B$3:$B$98,"Child",$C$3:$C$98,Table3[[#This Row],[Main Member Link ID]])-COUNTIFS($B93:$B$98,"Child",$C93:$C$98,Table3[[#This Row],[Main Member Link ID]]),
IF(Table3[[#This Row],[Member Type]]="Extended",COUNTIFS($B$3:$B$98,"Extended",$C$3:$C$98,Table3[[#This Row],[Main Member Link ID]])-COUNTIFS($B93:$B$98,"Extended",$C93:$C$98,Table3[[#This Row],[Main Member Link ID]]),
IF(Table3[[#This Row],[Member Type]]="Parent",COUNTIFS($B$3:$B$98,"Parent",$C$3:$C$98,Table3[[#This Row],[Main Member Link ID]])-COUNTIFS($B93:$B$98,"Parent",$C93:$C$98,Table3[[#This Row],[Main Member Link ID]]),
IF(Table3[[#This Row],[Member Type]]="Spouse",COUNTIFS($B$3:$B$98,"Spouse",$C$3:$C$98,Table3[[#This Row],[Main Member Link ID]])-COUNTIFS($B93:$B$98,"Spouse",$C93:$C$98,Table3[[#This Row],[Main Member Link ID]]),
IF(Table3[[#This Row],[Member Type]]="Main Member",COUNTIFS($B$3:$B$98,"Main Member",$C$3:$C$98,Table3[[#This Row],[Main Member Link ID]])-COUNTIFS($B93:$B$98,"Main Member",$C93:$C$98,Table3[[#This Row],[Main Member Link ID]]),
IF(Table3[[#This Row],[Member Type]]="Beneficiary",COUNTIFS($B$3:$B$98,"Beneficiary",$C$3:$C$98,Table3[[#This Row],[Main Member Link ID]])-COUNTIFS($B93:$B$98,"Beneficiary",$C93:$C$98,Table3[[#This Row],[Main Member Link ID]]),0))))))</f>
        <v>0</v>
      </c>
      <c r="Q92"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2" s="166">
        <f>IF(Table3[[#This Row],[Member Type]]="Child",Table3[[#This Row],[Rate per 10,000]]/10000*Table3[[#This Row],[Cover Amount]],0)</f>
        <v>0</v>
      </c>
      <c r="S92" s="165">
        <f>IF(Table3[[#This Row],[Member Type]]="Child",COUNTIFS(Table3[Each Child Premium],Table3[[#This Row],[Each Child Premium]],Table3[Main Member Link ID],Table3[[#This Row],[Main Member Link ID]]),0)</f>
        <v>0</v>
      </c>
      <c r="T92" s="165" t="str">
        <f>IF(Table3[[#This Row],[No. of Child with same Cover Amont under a policy]]=0,"",IF(Table3[[#This Row],[Each Child Premium]]&gt;=_xlfn.MAXIFS(Table3[Each Child Premium],Table3[Main Member Link ID],Table3[[#This Row],[Main Member Link ID]]),"Yes",""))</f>
        <v/>
      </c>
      <c r="U92"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policy]]&gt;1,J92=_xlfn.MINIFS(Table3[Age],Table3[Member Type],"Child",Table3[Main Member Link ID],Table3[[#This Row],[Main Member Link ID]],Table3[No. of Child with same Cover Amont under a policy],Table3[[#This Row],[No. of Child with same Cover Amont under a policy]])),1,0)),0)</f>
        <v>0</v>
      </c>
    </row>
    <row r="93" spans="2:21" x14ac:dyDescent="0.3">
      <c r="B93" s="173">
        <f>Members!B96</f>
        <v>0</v>
      </c>
      <c r="C93" s="174">
        <f>Members!E96</f>
        <v>0</v>
      </c>
      <c r="D93" s="174">
        <f>Members!F96</f>
        <v>0</v>
      </c>
      <c r="E93" s="174">
        <f>Members!G96</f>
        <v>0</v>
      </c>
      <c r="F93" s="72">
        <f>Members!H96</f>
        <v>0</v>
      </c>
      <c r="G93" s="71">
        <f>Members!I96</f>
        <v>0</v>
      </c>
      <c r="H93" s="71" t="str">
        <f>Members!J96</f>
        <v/>
      </c>
      <c r="I93" s="72">
        <f>Members!K96</f>
        <v>0</v>
      </c>
      <c r="J93" s="73">
        <f t="shared" si="2"/>
        <v>1</v>
      </c>
      <c r="K93" s="74">
        <f>IFERROR(IF(OR(B93=0,Table3[[#This Row],[Age]]=0,Table3[[#This Row],[Member Type]]="Beneficiary"),0,
IF(B93="Main Member",VLOOKUP(J93,Rate_MM,5),
IF(B93="Spouse",VLOOKUP(J93,Rate_SP,5),
IF(B93="Extended",VLOOKUP(J93,Rate_EXT,5),
IF(B93="Parent",VLOOKUP(J93,Rate_PAR,5),
IF(B93="Child",VLOOKUP(J93,Rate_CH,5))))))),0)</f>
        <v>0</v>
      </c>
      <c r="L93" s="74">
        <f>IFERROR(IF(OR(B93=0,Table3[[#This Row],[Age]]=0,Table3[[#This Row],[Member Type]]="Beneficiary"),0,
IF(B93="Main Member",VLOOKUP(J93,Rate_MM,4),
IF(B93="Spouse",VLOOKUP(J93,Rate_SP,4),
IF(B93="Extended",VLOOKUP(J93,Rate_EXT,4),
IF(B93="Parent",VLOOKUP(J93,Rate_PAR,4),
IF(B93="Child",VLOOKUP(J93,Rate_CH,4))))))),0)</f>
        <v>0</v>
      </c>
      <c r="M93" s="75">
        <f>Members!N96</f>
        <v>0</v>
      </c>
      <c r="N93"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3"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3" s="165">
        <f>IF(Table3[[#This Row],[Member Type]]="Child",COUNTIFS($B$3:$B$98,"Child",$C$3:$C$98,Table3[[#This Row],[Main Member Link ID]])-COUNTIFS($B94:$B$98,"Child",$C94:$C$98,Table3[[#This Row],[Main Member Link ID]]),
IF(Table3[[#This Row],[Member Type]]="Extended",COUNTIFS($B$3:$B$98,"Extended",$C$3:$C$98,Table3[[#This Row],[Main Member Link ID]])-COUNTIFS($B94:$B$98,"Extended",$C94:$C$98,Table3[[#This Row],[Main Member Link ID]]),
IF(Table3[[#This Row],[Member Type]]="Parent",COUNTIFS($B$3:$B$98,"Parent",$C$3:$C$98,Table3[[#This Row],[Main Member Link ID]])-COUNTIFS($B94:$B$98,"Parent",$C94:$C$98,Table3[[#This Row],[Main Member Link ID]]),
IF(Table3[[#This Row],[Member Type]]="Spouse",COUNTIFS($B$3:$B$98,"Spouse",$C$3:$C$98,Table3[[#This Row],[Main Member Link ID]])-COUNTIFS($B94:$B$98,"Spouse",$C94:$C$98,Table3[[#This Row],[Main Member Link ID]]),
IF(Table3[[#This Row],[Member Type]]="Main Member",COUNTIFS($B$3:$B$98,"Main Member",$C$3:$C$98,Table3[[#This Row],[Main Member Link ID]])-COUNTIFS($B94:$B$98,"Main Member",$C94:$C$98,Table3[[#This Row],[Main Member Link ID]]),
IF(Table3[[#This Row],[Member Type]]="Beneficiary",COUNTIFS($B$3:$B$98,"Beneficiary",$C$3:$C$98,Table3[[#This Row],[Main Member Link ID]])-COUNTIFS($B94:$B$98,"Beneficiary",$C94:$C$98,Table3[[#This Row],[Main Member Link ID]]),0))))))</f>
        <v>0</v>
      </c>
      <c r="Q93"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3" s="166">
        <f>IF(Table3[[#This Row],[Member Type]]="Child",Table3[[#This Row],[Rate per 10,000]]/10000*Table3[[#This Row],[Cover Amount]],0)</f>
        <v>0</v>
      </c>
      <c r="S93" s="165">
        <f>IF(Table3[[#This Row],[Member Type]]="Child",COUNTIFS(Table3[Each Child Premium],Table3[[#This Row],[Each Child Premium]],Table3[Main Member Link ID],Table3[[#This Row],[Main Member Link ID]]),0)</f>
        <v>0</v>
      </c>
      <c r="T93" s="165" t="str">
        <f>IF(Table3[[#This Row],[No. of Child with same Cover Amont under a policy]]=0,"",IF(Table3[[#This Row],[Each Child Premium]]&gt;=_xlfn.MAXIFS(Table3[Each Child Premium],Table3[Main Member Link ID],Table3[[#This Row],[Main Member Link ID]]),"Yes",""))</f>
        <v/>
      </c>
      <c r="U93"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policy]]&gt;1,J93=_xlfn.MINIFS(Table3[Age],Table3[Member Type],"Child",Table3[Main Member Link ID],Table3[[#This Row],[Main Member Link ID]],Table3[No. of Child with same Cover Amont under a policy],Table3[[#This Row],[No. of Child with same Cover Amont under a policy]])),1,0)),0)</f>
        <v>0</v>
      </c>
    </row>
    <row r="94" spans="2:21" x14ac:dyDescent="0.3">
      <c r="B94" s="173">
        <f>Members!B97</f>
        <v>0</v>
      </c>
      <c r="C94" s="174">
        <f>Members!E97</f>
        <v>0</v>
      </c>
      <c r="D94" s="174">
        <f>Members!F97</f>
        <v>0</v>
      </c>
      <c r="E94" s="174">
        <f>Members!G97</f>
        <v>0</v>
      </c>
      <c r="F94" s="72">
        <f>Members!H97</f>
        <v>0</v>
      </c>
      <c r="G94" s="71">
        <f>Members!I97</f>
        <v>0</v>
      </c>
      <c r="H94" s="71" t="str">
        <f>Members!J97</f>
        <v/>
      </c>
      <c r="I94" s="72">
        <f>Members!K97</f>
        <v>0</v>
      </c>
      <c r="J94" s="73">
        <f t="shared" si="2"/>
        <v>1</v>
      </c>
      <c r="K94" s="74">
        <f>IFERROR(IF(OR(B94=0,Table3[[#This Row],[Age]]=0,Table3[[#This Row],[Member Type]]="Beneficiary"),0,
IF(B94="Main Member",VLOOKUP(J94,Rate_MM,5),
IF(B94="Spouse",VLOOKUP(J94,Rate_SP,5),
IF(B94="Extended",VLOOKUP(J94,Rate_EXT,5),
IF(B94="Parent",VLOOKUP(J94,Rate_PAR,5),
IF(B94="Child",VLOOKUP(J94,Rate_CH,5))))))),0)</f>
        <v>0</v>
      </c>
      <c r="L94" s="74">
        <f>IFERROR(IF(OR(B94=0,Table3[[#This Row],[Age]]=0,Table3[[#This Row],[Member Type]]="Beneficiary"),0,
IF(B94="Main Member",VLOOKUP(J94,Rate_MM,4),
IF(B94="Spouse",VLOOKUP(J94,Rate_SP,4),
IF(B94="Extended",VLOOKUP(J94,Rate_EXT,4),
IF(B94="Parent",VLOOKUP(J94,Rate_PAR,4),
IF(B94="Child",VLOOKUP(J94,Rate_CH,4))))))),0)</f>
        <v>0</v>
      </c>
      <c r="M94" s="75">
        <f>Members!N97</f>
        <v>0</v>
      </c>
      <c r="N94"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4"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4" s="165">
        <f>IF(Table3[[#This Row],[Member Type]]="Child",COUNTIFS($B$3:$B$98,"Child",$C$3:$C$98,Table3[[#This Row],[Main Member Link ID]])-COUNTIFS($B95:$B$98,"Child",$C95:$C$98,Table3[[#This Row],[Main Member Link ID]]),
IF(Table3[[#This Row],[Member Type]]="Extended",COUNTIFS($B$3:$B$98,"Extended",$C$3:$C$98,Table3[[#This Row],[Main Member Link ID]])-COUNTIFS($B95:$B$98,"Extended",$C95:$C$98,Table3[[#This Row],[Main Member Link ID]]),
IF(Table3[[#This Row],[Member Type]]="Parent",COUNTIFS($B$3:$B$98,"Parent",$C$3:$C$98,Table3[[#This Row],[Main Member Link ID]])-COUNTIFS($B95:$B$98,"Parent",$C95:$C$98,Table3[[#This Row],[Main Member Link ID]]),
IF(Table3[[#This Row],[Member Type]]="Spouse",COUNTIFS($B$3:$B$98,"Spouse",$C$3:$C$98,Table3[[#This Row],[Main Member Link ID]])-COUNTIFS($B95:$B$98,"Spouse",$C95:$C$98,Table3[[#This Row],[Main Member Link ID]]),
IF(Table3[[#This Row],[Member Type]]="Main Member",COUNTIFS($B$3:$B$98,"Main Member",$C$3:$C$98,Table3[[#This Row],[Main Member Link ID]])-COUNTIFS($B95:$B$98,"Main Member",$C95:$C$98,Table3[[#This Row],[Main Member Link ID]]),
IF(Table3[[#This Row],[Member Type]]="Beneficiary",COUNTIFS($B$3:$B$98,"Beneficiary",$C$3:$C$98,Table3[[#This Row],[Main Member Link ID]])-COUNTIFS($B95:$B$98,"Beneficiary",$C95:$C$98,Table3[[#This Row],[Main Member Link ID]]),0))))))</f>
        <v>0</v>
      </c>
      <c r="Q94"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4" s="166">
        <f>IF(Table3[[#This Row],[Member Type]]="Child",Table3[[#This Row],[Rate per 10,000]]/10000*Table3[[#This Row],[Cover Amount]],0)</f>
        <v>0</v>
      </c>
      <c r="S94" s="165">
        <f>IF(Table3[[#This Row],[Member Type]]="Child",COUNTIFS(Table3[Each Child Premium],Table3[[#This Row],[Each Child Premium]],Table3[Main Member Link ID],Table3[[#This Row],[Main Member Link ID]]),0)</f>
        <v>0</v>
      </c>
      <c r="T94" s="165" t="str">
        <f>IF(Table3[[#This Row],[No. of Child with same Cover Amont under a policy]]=0,"",IF(Table3[[#This Row],[Each Child Premium]]&gt;=_xlfn.MAXIFS(Table3[Each Child Premium],Table3[Main Member Link ID],Table3[[#This Row],[Main Member Link ID]]),"Yes",""))</f>
        <v/>
      </c>
      <c r="U94"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policy]]&gt;1,J94=_xlfn.MINIFS(Table3[Age],Table3[Member Type],"Child",Table3[Main Member Link ID],Table3[[#This Row],[Main Member Link ID]],Table3[No. of Child with same Cover Amont under a policy],Table3[[#This Row],[No. of Child with same Cover Amont under a policy]])),1,0)),0)</f>
        <v>0</v>
      </c>
    </row>
    <row r="95" spans="2:21" x14ac:dyDescent="0.3">
      <c r="B95" s="173">
        <f>Members!B98</f>
        <v>0</v>
      </c>
      <c r="C95" s="174">
        <f>Members!E98</f>
        <v>0</v>
      </c>
      <c r="D95" s="174">
        <f>Members!F98</f>
        <v>0</v>
      </c>
      <c r="E95" s="174">
        <f>Members!G98</f>
        <v>0</v>
      </c>
      <c r="F95" s="72">
        <f>Members!H98</f>
        <v>0</v>
      </c>
      <c r="G95" s="71">
        <f>Members!I98</f>
        <v>0</v>
      </c>
      <c r="H95" s="71" t="str">
        <f>Members!J98</f>
        <v/>
      </c>
      <c r="I95" s="72">
        <f>Members!K98</f>
        <v>0</v>
      </c>
      <c r="J95" s="73">
        <f t="shared" si="2"/>
        <v>1</v>
      </c>
      <c r="K95" s="74">
        <f>IFERROR(IF(OR(B95=0,Table3[[#This Row],[Age]]=0,Table3[[#This Row],[Member Type]]="Beneficiary"),0,
IF(B95="Main Member",VLOOKUP(J95,Rate_MM,5),
IF(B95="Spouse",VLOOKUP(J95,Rate_SP,5),
IF(B95="Extended",VLOOKUP(J95,Rate_EXT,5),
IF(B95="Parent",VLOOKUP(J95,Rate_PAR,5),
IF(B95="Child",VLOOKUP(J95,Rate_CH,5))))))),0)</f>
        <v>0</v>
      </c>
      <c r="L95" s="74">
        <f>IFERROR(IF(OR(B95=0,Table3[[#This Row],[Age]]=0,Table3[[#This Row],[Member Type]]="Beneficiary"),0,
IF(B95="Main Member",VLOOKUP(J95,Rate_MM,4),
IF(B95="Spouse",VLOOKUP(J95,Rate_SP,4),
IF(B95="Extended",VLOOKUP(J95,Rate_EXT,4),
IF(B95="Parent",VLOOKUP(J95,Rate_PAR,4),
IF(B95="Child",VLOOKUP(J95,Rate_CH,4))))))),0)</f>
        <v>0</v>
      </c>
      <c r="M95" s="75">
        <f>Members!N98</f>
        <v>0</v>
      </c>
      <c r="N95"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5"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5" s="165">
        <f>IF(Table3[[#This Row],[Member Type]]="Child",COUNTIFS($B$3:$B$98,"Child",$C$3:$C$98,Table3[[#This Row],[Main Member Link ID]])-COUNTIFS($B96:$B$98,"Child",$C96:$C$98,Table3[[#This Row],[Main Member Link ID]]),
IF(Table3[[#This Row],[Member Type]]="Extended",COUNTIFS($B$3:$B$98,"Extended",$C$3:$C$98,Table3[[#This Row],[Main Member Link ID]])-COUNTIFS($B96:$B$98,"Extended",$C96:$C$98,Table3[[#This Row],[Main Member Link ID]]),
IF(Table3[[#This Row],[Member Type]]="Parent",COUNTIFS($B$3:$B$98,"Parent",$C$3:$C$98,Table3[[#This Row],[Main Member Link ID]])-COUNTIFS($B96:$B$98,"Parent",$C96:$C$98,Table3[[#This Row],[Main Member Link ID]]),
IF(Table3[[#This Row],[Member Type]]="Spouse",COUNTIFS($B$3:$B$98,"Spouse",$C$3:$C$98,Table3[[#This Row],[Main Member Link ID]])-COUNTIFS($B96:$B$98,"Spouse",$C96:$C$98,Table3[[#This Row],[Main Member Link ID]]),
IF(Table3[[#This Row],[Member Type]]="Main Member",COUNTIFS($B$3:$B$98,"Main Member",$C$3:$C$98,Table3[[#This Row],[Main Member Link ID]])-COUNTIFS($B96:$B$98,"Main Member",$C96:$C$98,Table3[[#This Row],[Main Member Link ID]]),
IF(Table3[[#This Row],[Member Type]]="Beneficiary",COUNTIFS($B$3:$B$98,"Beneficiary",$C$3:$C$98,Table3[[#This Row],[Main Member Link ID]])-COUNTIFS($B96:$B$98,"Beneficiary",$C96:$C$98,Table3[[#This Row],[Main Member Link ID]]),0))))))</f>
        <v>0</v>
      </c>
      <c r="Q95"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5" s="166">
        <f>IF(Table3[[#This Row],[Member Type]]="Child",Table3[[#This Row],[Rate per 10,000]]/10000*Table3[[#This Row],[Cover Amount]],0)</f>
        <v>0</v>
      </c>
      <c r="S95" s="165">
        <f>IF(Table3[[#This Row],[Member Type]]="Child",COUNTIFS(Table3[Each Child Premium],Table3[[#This Row],[Each Child Premium]],Table3[Main Member Link ID],Table3[[#This Row],[Main Member Link ID]]),0)</f>
        <v>0</v>
      </c>
      <c r="T95" s="165" t="str">
        <f>IF(Table3[[#This Row],[No. of Child with same Cover Amont under a policy]]=0,"",IF(Table3[[#This Row],[Each Child Premium]]&gt;=_xlfn.MAXIFS(Table3[Each Child Premium],Table3[Main Member Link ID],Table3[[#This Row],[Main Member Link ID]]),"Yes",""))</f>
        <v/>
      </c>
      <c r="U95"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policy]]&gt;1,J95=_xlfn.MINIFS(Table3[Age],Table3[Member Type],"Child",Table3[Main Member Link ID],Table3[[#This Row],[Main Member Link ID]],Table3[No. of Child with same Cover Amont under a policy],Table3[[#This Row],[No. of Child with same Cover Amont under a policy]])),1,0)),0)</f>
        <v>0</v>
      </c>
    </row>
    <row r="96" spans="2:21" x14ac:dyDescent="0.3">
      <c r="B96" s="173">
        <f>Members!B99</f>
        <v>0</v>
      </c>
      <c r="C96" s="174">
        <f>Members!E99</f>
        <v>0</v>
      </c>
      <c r="D96" s="174">
        <f>Members!F99</f>
        <v>0</v>
      </c>
      <c r="E96" s="174">
        <f>Members!G99</f>
        <v>0</v>
      </c>
      <c r="F96" s="72">
        <f>Members!H99</f>
        <v>0</v>
      </c>
      <c r="G96" s="71">
        <f>Members!I99</f>
        <v>0</v>
      </c>
      <c r="H96" s="71" t="str">
        <f>Members!J99</f>
        <v/>
      </c>
      <c r="I96" s="72">
        <f>Members!K99</f>
        <v>0</v>
      </c>
      <c r="J96" s="73">
        <f t="shared" si="2"/>
        <v>1</v>
      </c>
      <c r="K96" s="74">
        <f>IFERROR(IF(OR(B96=0,Table3[[#This Row],[Age]]=0,Table3[[#This Row],[Member Type]]="Beneficiary"),0,
IF(B96="Main Member",VLOOKUP(J96,Rate_MM,5),
IF(B96="Spouse",VLOOKUP(J96,Rate_SP,5),
IF(B96="Extended",VLOOKUP(J96,Rate_EXT,5),
IF(B96="Parent",VLOOKUP(J96,Rate_PAR,5),
IF(B96="Child",VLOOKUP(J96,Rate_CH,5))))))),0)</f>
        <v>0</v>
      </c>
      <c r="L96" s="74">
        <f>IFERROR(IF(OR(B96=0,Table3[[#This Row],[Age]]=0,Table3[[#This Row],[Member Type]]="Beneficiary"),0,
IF(B96="Main Member",VLOOKUP(J96,Rate_MM,4),
IF(B96="Spouse",VLOOKUP(J96,Rate_SP,4),
IF(B96="Extended",VLOOKUP(J96,Rate_EXT,4),
IF(B96="Parent",VLOOKUP(J96,Rate_PAR,4),
IF(B96="Child",VLOOKUP(J96,Rate_CH,4))))))),0)</f>
        <v>0</v>
      </c>
      <c r="M96" s="75">
        <f>Members!N99</f>
        <v>0</v>
      </c>
      <c r="N96"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6"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6" s="165">
        <f>IF(Table3[[#This Row],[Member Type]]="Child",COUNTIFS($B$3:$B$98,"Child",$C$3:$C$98,Table3[[#This Row],[Main Member Link ID]])-COUNTIFS($B97:$B$98,"Child",$C97:$C$98,Table3[[#This Row],[Main Member Link ID]]),
IF(Table3[[#This Row],[Member Type]]="Extended",COUNTIFS($B$3:$B$98,"Extended",$C$3:$C$98,Table3[[#This Row],[Main Member Link ID]])-COUNTIFS($B97:$B$98,"Extended",$C97:$C$98,Table3[[#This Row],[Main Member Link ID]]),
IF(Table3[[#This Row],[Member Type]]="Parent",COUNTIFS($B$3:$B$98,"Parent",$C$3:$C$98,Table3[[#This Row],[Main Member Link ID]])-COUNTIFS($B97:$B$98,"Parent",$C97:$C$98,Table3[[#This Row],[Main Member Link ID]]),
IF(Table3[[#This Row],[Member Type]]="Spouse",COUNTIFS($B$3:$B$98,"Spouse",$C$3:$C$98,Table3[[#This Row],[Main Member Link ID]])-COUNTIFS($B97:$B$98,"Spouse",$C97:$C$98,Table3[[#This Row],[Main Member Link ID]]),
IF(Table3[[#This Row],[Member Type]]="Main Member",COUNTIFS($B$3:$B$98,"Main Member",$C$3:$C$98,Table3[[#This Row],[Main Member Link ID]])-COUNTIFS($B97:$B$98,"Main Member",$C97:$C$98,Table3[[#This Row],[Main Member Link ID]]),
IF(Table3[[#This Row],[Member Type]]="Beneficiary",COUNTIFS($B$3:$B$98,"Beneficiary",$C$3:$C$98,Table3[[#This Row],[Main Member Link ID]])-COUNTIFS($B97:$B$98,"Beneficiary",$C97:$C$98,Table3[[#This Row],[Main Member Link ID]]),0))))))</f>
        <v>0</v>
      </c>
      <c r="Q96"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6" s="166">
        <f>IF(Table3[[#This Row],[Member Type]]="Child",Table3[[#This Row],[Rate per 10,000]]/10000*Table3[[#This Row],[Cover Amount]],0)</f>
        <v>0</v>
      </c>
      <c r="S96" s="165">
        <f>IF(Table3[[#This Row],[Member Type]]="Child",COUNTIFS(Table3[Each Child Premium],Table3[[#This Row],[Each Child Premium]],Table3[Main Member Link ID],Table3[[#This Row],[Main Member Link ID]]),0)</f>
        <v>0</v>
      </c>
      <c r="T96" s="165" t="str">
        <f>IF(Table3[[#This Row],[No. of Child with same Cover Amont under a policy]]=0,"",IF(Table3[[#This Row],[Each Child Premium]]&gt;=_xlfn.MAXIFS(Table3[Each Child Premium],Table3[Main Member Link ID],Table3[[#This Row],[Main Member Link ID]]),"Yes",""))</f>
        <v/>
      </c>
      <c r="U96"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policy]]&gt;1,J96=_xlfn.MINIFS(Table3[Age],Table3[Member Type],"Child",Table3[Main Member Link ID],Table3[[#This Row],[Main Member Link ID]],Table3[No. of Child with same Cover Amont under a policy],Table3[[#This Row],[No. of Child with same Cover Amont under a policy]])),1,0)),0)</f>
        <v>0</v>
      </c>
    </row>
    <row r="97" spans="2:21" x14ac:dyDescent="0.3">
      <c r="B97" s="173">
        <f>Members!B100</f>
        <v>0</v>
      </c>
      <c r="C97" s="174">
        <f>Members!E100</f>
        <v>0</v>
      </c>
      <c r="D97" s="174">
        <f>Members!F100</f>
        <v>0</v>
      </c>
      <c r="E97" s="174">
        <f>Members!G100</f>
        <v>0</v>
      </c>
      <c r="F97" s="72">
        <f>Members!H100</f>
        <v>0</v>
      </c>
      <c r="G97" s="71">
        <f>Members!I100</f>
        <v>0</v>
      </c>
      <c r="H97" s="71" t="str">
        <f>Members!J100</f>
        <v/>
      </c>
      <c r="I97" s="72">
        <f>Members!K100</f>
        <v>0</v>
      </c>
      <c r="J97" s="73">
        <f t="shared" si="2"/>
        <v>1</v>
      </c>
      <c r="K97" s="74">
        <f>IFERROR(IF(OR(B97=0,Table3[[#This Row],[Age]]=0,Table3[[#This Row],[Member Type]]="Beneficiary"),0,
IF(B97="Main Member",VLOOKUP(J97,Rate_MM,5),
IF(B97="Spouse",VLOOKUP(J97,Rate_SP,5),
IF(B97="Extended",VLOOKUP(J97,Rate_EXT,5),
IF(B97="Parent",VLOOKUP(J97,Rate_PAR,5),
IF(B97="Child",VLOOKUP(J97,Rate_CH,5))))))),0)</f>
        <v>0</v>
      </c>
      <c r="L97" s="74">
        <f>IFERROR(IF(OR(B97=0,Table3[[#This Row],[Age]]=0,Table3[[#This Row],[Member Type]]="Beneficiary"),0,
IF(B97="Main Member",VLOOKUP(J97,Rate_MM,4),
IF(B97="Spouse",VLOOKUP(J97,Rate_SP,4),
IF(B97="Extended",VLOOKUP(J97,Rate_EXT,4),
IF(B97="Parent",VLOOKUP(J97,Rate_PAR,4),
IF(B97="Child",VLOOKUP(J97,Rate_CH,4))))))),0)</f>
        <v>0</v>
      </c>
      <c r="M97" s="75">
        <f>Members!N100</f>
        <v>0</v>
      </c>
      <c r="N97"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7" s="164">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7" s="165">
        <f>IF(Table3[[#This Row],[Member Type]]="Child",COUNTIFS($B$3:$B$98,"Child",$C$3:$C$98,Table3[[#This Row],[Main Member Link ID]])-COUNTIFS($B98:$B$98,"Child",$C98:$C$98,Table3[[#This Row],[Main Member Link ID]]),
IF(Table3[[#This Row],[Member Type]]="Extended",COUNTIFS($B$3:$B$98,"Extended",$C$3:$C$98,Table3[[#This Row],[Main Member Link ID]])-COUNTIFS($B98:$B$98,"Extended",$C98:$C$98,Table3[[#This Row],[Main Member Link ID]]),
IF(Table3[[#This Row],[Member Type]]="Parent",COUNTIFS($B$3:$B$98,"Parent",$C$3:$C$98,Table3[[#This Row],[Main Member Link ID]])-COUNTIFS($B98:$B$98,"Parent",$C98:$C$98,Table3[[#This Row],[Main Member Link ID]]),
IF(Table3[[#This Row],[Member Type]]="Spouse",COUNTIFS($B$3:$B$98,"Spouse",$C$3:$C$98,Table3[[#This Row],[Main Member Link ID]])-COUNTIFS($B98:$B$98,"Spouse",$C98:$C$98,Table3[[#This Row],[Main Member Link ID]]),
IF(Table3[[#This Row],[Member Type]]="Main Member",COUNTIFS($B$3:$B$98,"Main Member",$C$3:$C$98,Table3[[#This Row],[Main Member Link ID]])-COUNTIFS($B98:$B$98,"Main Member",$C98:$C$98,Table3[[#This Row],[Main Member Link ID]]),
IF(Table3[[#This Row],[Member Type]]="Beneficiary",COUNTIFS($B$3:$B$98,"Beneficiary",$C$3:$C$98,Table3[[#This Row],[Main Member Link ID]])-COUNTIFS($B98:$B$98,"Beneficiary",$C98:$C$98,Table3[[#This Row],[Main Member Link ID]]),0))))))</f>
        <v>0</v>
      </c>
      <c r="Q97" s="167">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7" s="166">
        <f>IF(Table3[[#This Row],[Member Type]]="Child",Table3[[#This Row],[Rate per 10,000]]/10000*Table3[[#This Row],[Cover Amount]],0)</f>
        <v>0</v>
      </c>
      <c r="S97" s="165">
        <f>IF(Table3[[#This Row],[Member Type]]="Child",COUNTIFS(Table3[Each Child Premium],Table3[[#This Row],[Each Child Premium]],Table3[Main Member Link ID],Table3[[#This Row],[Main Member Link ID]]),0)</f>
        <v>0</v>
      </c>
      <c r="T97" s="165" t="str">
        <f>IF(Table3[[#This Row],[No. of Child with same Cover Amont under a policy]]=0,"",IF(Table3[[#This Row],[Each Child Premium]]&gt;=_xlfn.MAXIFS(Table3[Each Child Premium],Table3[Main Member Link ID],Table3[[#This Row],[Main Member Link ID]]),"Yes",""))</f>
        <v/>
      </c>
      <c r="U97"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policy]]&gt;1,J97=_xlfn.MINIFS(Table3[Age],Table3[Member Type],"Child",Table3[Main Member Link ID],Table3[[#This Row],[Main Member Link ID]],Table3[No. of Child with same Cover Amont under a policy],Table3[[#This Row],[No. of Child with same Cover Amont under a policy]])),1,0)),0)</f>
        <v>0</v>
      </c>
    </row>
    <row r="98" spans="2:21" ht="14.4" thickBot="1" x14ac:dyDescent="0.35">
      <c r="B98" s="173">
        <f>Members!B101</f>
        <v>0</v>
      </c>
      <c r="C98" s="174">
        <f>Members!E101</f>
        <v>0</v>
      </c>
      <c r="D98" s="174">
        <f>Members!F101</f>
        <v>0</v>
      </c>
      <c r="E98" s="174">
        <f>Members!G101</f>
        <v>0</v>
      </c>
      <c r="F98" s="72">
        <f>Members!H101</f>
        <v>0</v>
      </c>
      <c r="G98" s="71">
        <f>Members!I101</f>
        <v>0</v>
      </c>
      <c r="H98" s="71" t="str">
        <f>Members!J101</f>
        <v/>
      </c>
      <c r="I98" s="72">
        <f>Members!K101</f>
        <v>0</v>
      </c>
      <c r="J98" s="73">
        <f t="shared" si="2"/>
        <v>1</v>
      </c>
      <c r="K98" s="74">
        <f>IFERROR(IF(OR(B98=0,Table3[[#This Row],[Age]]=0,Table3[[#This Row],[Member Type]]="Beneficiary"),0,
IF(B98="Main Member",VLOOKUP(J98,Rate_MM,5),
IF(B98="Spouse",VLOOKUP(J98,Rate_SP,5),
IF(B98="Extended",VLOOKUP(J98,Rate_EXT,5),
IF(B98="Parent",VLOOKUP(J98,Rate_PAR,5),
IF(B98="Child",VLOOKUP(J98,Rate_CH,5))))))),0)</f>
        <v>0</v>
      </c>
      <c r="L98" s="74">
        <f>IFERROR(IF(OR(B98=0,Table3[[#This Row],[Age]]=0,Table3[[#This Row],[Member Type]]="Beneficiary"),0,
IF(B98="Main Member",VLOOKUP(J98,Rate_MM,4),
IF(B98="Spouse",VLOOKUP(J98,Rate_SP,4),
IF(B98="Extended",VLOOKUP(J98,Rate_EXT,4),
IF(B98="Parent",VLOOKUP(J98,Rate_PAR,4),
IF(B98="Child",VLOOKUP(J98,Rate_CH,4))))))),0)</f>
        <v>0</v>
      </c>
      <c r="M98" s="75">
        <f>Members!N101</f>
        <v>0</v>
      </c>
      <c r="N98" s="75">
        <f>IF(Table3[[#This Row],[Member Type]]&lt;&gt;"Child",Table3[[#This Row],[Rate per 10,000]]/10000*Table3[[#This Row],[Cover Amount]]+IF(Table3[[#This Row],[Cover Amount]]&gt;0,Table3[[#This Row],[Fixed Rate]],0),
IF(AND(Table3[[#This Row],[Member Type]]="Child",Table3[[#This Row],[Count of Member Type]]&gt;6),0,Table3[[#This Row],[Each Child Premium]]*Table3[[#This Row],[Allocation of Child Premium]]+IF(Table3[[#This Row],[Cover Amount]]&gt;0,Table3[[#This Row],[Fixed Rate]],0)))</f>
        <v>0</v>
      </c>
      <c r="O98" s="168">
        <f>IF(Table3[[#This Row],[Member Type]]=0,0,
IF(AND(Table3[[#This Row],[Member Type]]="Child",Table3[[#This Row],[Count of Member Type]]&gt;6),-1,
IF(AND(Table3[[#This Row],[Member Type]]="Extended",Table3[[#This Row],[Count of Member Type]]&gt;10),-2,
IF(AND(Table3[[#This Row],[Member Type]]="Parent",Table3[[#This Row],[Count of Member Type]]&gt;4),-3,
IF(AND(Table3[[#This Row],[Member Type]]="Beneficiary",Table3[[#This Row],[Count of Member Type]]&gt;6),-4,
IF(AND(Table3[[#This Row],[Member Type]]="Beneficiary",Table3[[#This Row],[Count of Member Type]]&lt;=6),0,
IF(OR(Table3[[#This Row],[Age]]&gt;75,Table3[[#This Row],[Age]]="#NUM!"),-6,
IFERROR(
IF(AND(Table3[[#This Row],[Age]]&lt;Child_OverAgeRange,Table3[[#This Row],[Member Type]]="Child"),
MIN(VLOOKUP(Table3[[#This Row],[Age]],'Rates Lookup'!$H$9:$J$12,3,TRUE),VLOOKUP(Table3[[#This Row],[Age]],'Rates Lookup'!$H$9:$J$12,2,TRUE)*_xlfn.XLOOKUP(Table3[[#This Row],[Main Member Link ID]],Table3[Main Member Link ID],Table3[Cover Amount],0)),
IF(AND(Table3[[#This Row],[Age]]&gt;=Child_OverAgeRange,Table3[[#This Row],[Member Type]]="Child"),-5,
IF(AND(Table3[[#This Row],[Age]]&lt;Extended_OverAgeRange,Table3[[#This Row],[Member Type]]="Extended"),
MIN(VLOOKUP(Table3[[#This Row],[Age]],'Rates Lookup'!$H$14:$J$17,3,TRUE),VLOOKUP(Table3[[#This Row],[Age]],'Rates Lookup'!$H$14:$J$17,2,TRUE)*_xlfn.XLOOKUP(Table3[[#This Row],[Main Member Link ID]],Table3[Main Member Link ID],Table3[Cover Amount],0)),
IF(AND(Table3[[#This Row],[Age]]&gt;=Extended_OverAgeRange,Table3[[#This Row],[Member Type]]="Extended"),
MIN(VLOOKUP(Table3[[#This Row],[Age]],'Rates Lookup'!$H$14:$J$17,3,TRUE),VLOOKUP(Table3[[#This Row],[Age]],'Rates Lookup'!$H$14:$J$17,2,TRUE)*_xlfn.XLOOKUP(Table3[[#This Row],[Main Member Link ID]],Table3[Main Member Link ID],Table3[Cover Amount],0)),
IF(Table3[[#This Row],[Member Type]]="Main Member",VLOOKUP(Table3[[#This Row],[Member Type]],'Rates Lookup'!$H$4:$J$17,3,FALSE),
IF(OR(Table3[[#This Row],[Member Type]]="Spouse",Table3[[#This Row],[Member Type]]="Parent"),MIN(VLOOKUP(Table3[[#This Row],[Member Type]],'Rates Lookup'!$H$4:$J$17,3,FALSE),VLOOKUP(Table3[[#This Row],[Member Type]],'Rates Lookup'!$H$4:$J$17,2,FALSE)*_xlfn.XLOOKUP(Table3[[#This Row],[Main Member Link ID]],Table3[Main Member Link ID],Table3[Cover Amount],0)))))))),-6))))))))</f>
        <v>0</v>
      </c>
      <c r="P98" s="169">
        <f>IF(Table3[[#This Row],[Member Type]]="Child",COUNTIFS($B$3:$B$98,"Child",$C$3:$C$98,Table3[[#This Row],[Main Member Link ID]])-COUNTIFS($B$98:$B99,"Child",$C$98:$C99,Table3[[#This Row],[Main Member Link ID]]),
IF(Table3[[#This Row],[Member Type]]="Extended",COUNTIFS($B$3:$B$98,"Extended",$C$3:$C$98,Table3[[#This Row],[Main Member Link ID]])-COUNTIFS($B$98:$B99,"Extended",$C$98:$C99,Table3[[#This Row],[Main Member Link ID]]),
IF(Table3[[#This Row],[Member Type]]="Parent",COUNTIFS($B$3:$B$98,"Parent",$C$3:$C$98,Table3[[#This Row],[Main Member Link ID]])-COUNTIFS($B$98:$B99,"Parent",$C$98:$C99,Table3[[#This Row],[Main Member Link ID]]),
IF(Table3[[#This Row],[Member Type]]="Spouse",COUNTIFS($B$3:$B$98,"Spouse",$C$3:$C$98,Table3[[#This Row],[Main Member Link ID]])-COUNTIFS($B$98:$B99,"Spouse",$C$98:$C99,Table3[[#This Row],[Main Member Link ID]]),
IF(Table3[[#This Row],[Member Type]]="Main Member",COUNTIFS($B$3:$B$98,"Main Member",$C$3:$C$98,Table3[[#This Row],[Main Member Link ID]])-COUNTIFS($B$98:$B99,"Main Member",$C$98:$C99,Table3[[#This Row],[Main Member Link ID]]),
IF(Table3[[#This Row],[Member Type]]="Beneficiary",COUNTIFS($B$3:$B$98,"Beneficiary",$C$3:$C$98,Table3[[#This Row],[Main Member Link ID]])-COUNTIFS($B$98:$B99,"Beneficiary",$C$98:$C99,Table3[[#This Row],[Main Member Link ID]]),0))))))</f>
        <v>0</v>
      </c>
      <c r="Q98" s="170">
        <f>IF(Table3[[#This Row],[Indicative Max Sum Cover for each Member Type]]=-1,"Exceeded number of lives allowed for Child member type",
IF(Table3[[#This Row],[Indicative Max Sum Cover for each Member Type]]=-2,"Exceeded number of lives allowed for Extended member type",
IF(Table3[[#This Row],[Indicative Max Sum Cover for each Member Type]]=-3,"Exceeded number of lives allowed for Parent member type",
IF(Table3[[#This Row],[Indicative Max Sum Cover for each Member Type]]=-4,"Exceeded number of lives allowed for Beneficiary member type",
IF(Table3[[#This Row],[Indicative Max Sum Cover for each Member Type]]=-5,"Change to Extended member type",
IF(Table3[[#This Row],[Indicative Max Sum Cover for each Member Type]]=-6,"Check Member Type or Date of Birth",Table3[[#This Row],[Indicative Max Sum Cover for each Member Type]]))))))</f>
        <v>0</v>
      </c>
      <c r="R98" s="171">
        <f>IF(Table3[[#This Row],[Member Type]]="Child",Table3[[#This Row],[Rate per 10,000]]/10000*Table3[[#This Row],[Cover Amount]],0)</f>
        <v>0</v>
      </c>
      <c r="S98" s="169">
        <f>IF(Table3[[#This Row],[Member Type]]="Child",COUNTIFS(Table3[Each Child Premium],Table3[[#This Row],[Each Child Premium]],Table3[Main Member Link ID],Table3[[#This Row],[Main Member Link ID]]),0)</f>
        <v>0</v>
      </c>
      <c r="T98" s="169" t="str">
        <f>IF(Table3[[#This Row],[No. of Child with same Cover Amont under a policy]]=0,"",IF(Table3[[#This Row],[Each Child Premium]]&gt;=_xlfn.MAXIFS(Table3[Each Child Premium],Table3[Main Member Link ID],Table3[[#This Row],[Main Member Link ID]]),"Yes",""))</f>
        <v/>
      </c>
      <c r="U98" s="172">
        <f>IF(Table3[[#This Row],[Member Type]]="Child",
IF(AND(Table3[[#This Row],[Is Child Sum Cover Highest?]]="Yes",Table3[[#This Row],[Each Child Premium]]=_xlfn.MAXIFS($R$3:$R$98,$B$3:$B$98,"Child",$C$3:$C$98,Table3[[#This Row],[Main Member Link ID]]),Table3[[#This Row],[No. of Child with same Cover Amont under a policy]]=1),1,
IF(AND(Table3[[#This Row],[Is Child Sum Cover Highest?]]="Yes",Table3[[#This Row],[Each Child Premium]]=_xlfn.MAXIFS($R$3:$R$98,$B$3:$B$98,"Child",$C$3:$C$98,Table3[[#This Row],[Main Member Link ID]]),Table3[[#This Row],[No. of Child with same Cover Amont under a policy]]&gt;1,J98=_xlfn.MINIFS(Table3[Age],Table3[Member Type],"Child",Table3[Main Member Link ID],Table3[[#This Row],[Main Member Link ID]],Table3[No. of Child with same Cover Amont under a policy],Table3[[#This Row],[No. of Child with same Cover Amont under a policy]])),1,0)),0)</f>
        <v>0</v>
      </c>
    </row>
  </sheetData>
  <sheetProtection algorithmName="SHA-512" hashValue="jVVOJrMWpwsloO9haoulig9ER3ZTdgLhQwqwFdW98IGdRtfwpt71q9fy5nf2MTEA+JWrphbeqGxred5/ISmjxQ==" saltValue="dQ8WjBhdbhsbnQRlsrKIZA==" spinCount="100000" sheet="1" objects="1" scenarios="1"/>
  <phoneticPr fontId="4" type="noConversion"/>
  <conditionalFormatting sqref="B3:T98">
    <cfRule type="expression" dxfId="3" priority="7">
      <formula>$B3="Main Member"</formula>
    </cfRule>
  </conditionalFormatting>
  <conditionalFormatting sqref="P4:P98">
    <cfRule type="expression" dxfId="2" priority="5">
      <formula>$B4="Main Member"</formula>
    </cfRule>
  </conditionalFormatting>
  <conditionalFormatting sqref="P3:T98">
    <cfRule type="expression" dxfId="1" priority="6">
      <formula>$B3="Main Member"</formula>
    </cfRule>
  </conditionalFormatting>
  <conditionalFormatting sqref="U3:U98">
    <cfRule type="expression" dxfId="0" priority="3">
      <formula>$B3="Main Member"</formula>
    </cfRule>
  </conditionalFormatting>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Important Notes</vt:lpstr>
      <vt:lpstr>Members</vt:lpstr>
      <vt:lpstr>DropdownList</vt:lpstr>
      <vt:lpstr>Rates Lookup</vt:lpstr>
      <vt:lpstr>Quotation Tool</vt:lpstr>
      <vt:lpstr>Onboarding Calcs</vt:lpstr>
      <vt:lpstr>Child_OverAgeRange</vt:lpstr>
      <vt:lpstr>Extended_OverAgeRange</vt:lpstr>
      <vt:lpstr>Rate_CH</vt:lpstr>
      <vt:lpstr>Rate_EXT</vt:lpstr>
      <vt:lpstr>Rate_MM</vt:lpstr>
      <vt:lpstr>Rate_PAR</vt:lpstr>
      <vt:lpstr>Rate_SP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Vusumzi Tshayingwe</dc:creator>
  <cp:lastModifiedBy>Arenaho Muhali</cp:lastModifiedBy>
  <dcterms:created xsi:type="dcterms:W3CDTF">2020-04-30T14:35:26Z</dcterms:created>
  <dcterms:modified xsi:type="dcterms:W3CDTF">2026-07-20T09:57:16Z</dcterms:modified>
</cp:coreProperties>
</file>